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25F9D18-973B-4FBE-AFBB-5F72547F2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2" i="1"/>
  <c r="P20" i="1"/>
  <c r="P22" i="1"/>
  <c r="P24" i="1"/>
  <c r="P26" i="1"/>
  <c r="P28" i="1"/>
  <c r="P30" i="1"/>
  <c r="P32" i="1"/>
  <c r="P34" i="1"/>
  <c r="P5" i="1"/>
  <c r="P7" i="1"/>
  <c r="P9" i="1"/>
  <c r="P11" i="1"/>
  <c r="P13" i="1"/>
  <c r="P15" i="1"/>
  <c r="P17" i="1"/>
  <c r="P3" i="1"/>
</calcChain>
</file>

<file path=xl/sharedStrings.xml><?xml version="1.0" encoding="utf-8"?>
<sst xmlns="http://schemas.openxmlformats.org/spreadsheetml/2006/main" count="1074" uniqueCount="308">
  <si>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</si>
  <si>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</si>
  <si>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</si>
  <si>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</si>
  <si>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</si>
  <si>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</si>
  <si>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</si>
  <si>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</si>
  <si>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</si>
  <si>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</si>
  <si>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</si>
  <si>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</si>
  <si>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</si>
  <si>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</si>
  <si>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</si>
  <si>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</si>
  <si>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</si>
  <si>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</si>
  <si>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</si>
  <si>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</si>
  <si>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</si>
  <si>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</si>
  <si>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</si>
  <si>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</si>
  <si>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</si>
  <si>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</si>
  <si>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</si>
  <si>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</si>
  <si>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</si>
  <si>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</si>
  <si>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</si>
  <si>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</si>
  <si>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V001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</si>
  <si>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</si>
  <si>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</si>
  <si>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</si>
  <si>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</si>
  <si>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</si>
  <si>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</si>
  <si>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</si>
  <si>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</si>
  <si>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</si>
  <si>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</si>
  <si>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</si>
  <si>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</si>
  <si>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</si>
  <si>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</si>
  <si>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</si>
  <si>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</si>
  <si>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</si>
  <si>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</si>
  <si>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</si>
  <si>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</si>
  <si>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</si>
  <si>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</si>
  <si>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</si>
  <si>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</si>
  <si>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</si>
  <si>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</si>
  <si>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</si>
  <si>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</si>
  <si>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</si>
  <si>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</si>
  <si>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</si>
  <si>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</si>
  <si>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</si>
  <si>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</si>
  <si>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</si>
  <si>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</si>
  <si>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</si>
  <si>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</si>
  <si>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</si>
  <si>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</si>
  <si>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</si>
  <si>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</si>
  <si>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</si>
  <si>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</si>
  <si>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</si>
  <si>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</si>
  <si>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</si>
  <si>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</si>
  <si>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</si>
  <si>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</si>
  <si>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</si>
  <si>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</si>
  <si>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</si>
  <si>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</si>
  <si>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</si>
  <si>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</si>
  <si>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</si>
  <si>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</si>
  <si>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</si>
  <si>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</si>
  <si>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</si>
  <si>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</si>
  <si>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</si>
  <si>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</si>
  <si>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</si>
  <si>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</si>
  <si>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K.C LTD</t>
  </si>
  <si>
    <t>MKR-000001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</si>
  <si>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</si>
  <si>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</si>
  <si>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</si>
  <si>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</si>
  <si>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</si>
  <si>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</si>
  <si>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</si>
  <si>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</si>
  <si>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</si>
  <si>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</si>
  <si>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</si>
  <si>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</si>
  <si>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</si>
  <si>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</si>
  <si>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</si>
  <si>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</si>
  <si>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</si>
  <si>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</si>
  <si>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</si>
  <si>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</si>
  <si>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</si>
  <si>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</si>
  <si>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</si>
  <si>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</si>
  <si>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</si>
  <si>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</si>
  <si>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</si>
  <si>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</si>
  <si>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</si>
  <si>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</si>
  <si>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</si>
  <si>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</si>
  <si>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</si>
  <si>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</si>
  <si>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</si>
  <si>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</si>
  <si>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</si>
  <si>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</si>
  <si>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</si>
  <si>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</si>
  <si>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</si>
  <si>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</si>
  <si>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</si>
  <si>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</si>
  <si>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</si>
  <si>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</si>
  <si>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</si>
  <si>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</si>
  <si>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</si>
  <si>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</si>
  <si>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MKR-000005</t>
  </si>
  <si>
    <t>702.005.02</t>
  </si>
  <si>
    <t>FO separators No.02</t>
  </si>
  <si>
    <t>702.010.AA</t>
  </si>
  <si>
    <t>702.010.01</t>
  </si>
  <si>
    <t>DO separator booster pumps No.01</t>
  </si>
  <si>
    <t>NO MANUFACTURER</t>
  </si>
  <si>
    <t>MKR-000006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</si>
  <si>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</si>
  <si>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</si>
  <si>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</si>
  <si>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</si>
  <si>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</si>
  <si>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</si>
  <si>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</si>
  <si>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</si>
  <si>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</si>
  <si>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</si>
  <si>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</si>
  <si>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</si>
  <si>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</si>
  <si>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</si>
  <si>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</si>
  <si>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712.013.02</t>
  </si>
  <si>
    <t>LO separator booster pumps No.02</t>
  </si>
  <si>
    <t>1</t>
  </si>
  <si>
    <t>GENERAL</t>
  </si>
  <si>
    <t>10</t>
  </si>
  <si>
    <t>GENERAL SUB-GROUP</t>
  </si>
  <si>
    <t>101</t>
  </si>
  <si>
    <t>test1</t>
  </si>
  <si>
    <t>Category</t>
  </si>
  <si>
    <t>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</si>
  <si>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</si>
  <si>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</si>
  <si>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</si>
  <si>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</si>
  <si>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</si>
  <si>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</si>
  <si>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</si>
  <si>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</si>
  <si>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</si>
  <si>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</si>
  <si>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</si>
  <si>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SP-00001</t>
  </si>
  <si>
    <t>Rudder Shaft Bearing</t>
  </si>
  <si>
    <t>RUD-SB-001</t>
  </si>
  <si>
    <t>SP-00002</t>
  </si>
  <si>
    <t>Rudder Actuator Seal Kit</t>
  </si>
  <si>
    <t>RUD-AS-002</t>
  </si>
  <si>
    <t>SP-00003</t>
  </si>
  <si>
    <t>Steering Gear Oil Seal</t>
  </si>
  <si>
    <t>STG-OS-101</t>
  </si>
  <si>
    <t>SP-00004</t>
  </si>
  <si>
    <t>Steering Gear Actuator Piston</t>
  </si>
  <si>
    <t>STG-AP-102</t>
  </si>
  <si>
    <t>SP-00005</t>
  </si>
  <si>
    <t>Main Engine Oil Filter Element</t>
  </si>
  <si>
    <t>MDE-OFE-201</t>
  </si>
  <si>
    <t>SP-00006</t>
  </si>
  <si>
    <t>Main Engine Fuel Injection Nozzle</t>
  </si>
  <si>
    <t>MDE-FIN-202</t>
  </si>
  <si>
    <t>SP-00007</t>
  </si>
  <si>
    <t>Cathodic Protection Reference Electrode</t>
  </si>
  <si>
    <t>ICS-RE-301</t>
  </si>
  <si>
    <t>SP-00008</t>
  </si>
  <si>
    <t>Impressed Current Power Unit Control Module</t>
  </si>
  <si>
    <t>ICS-PCM-302</t>
  </si>
  <si>
    <t>SP-00009</t>
  </si>
  <si>
    <t>SP-00010</t>
  </si>
  <si>
    <t>SP-00011</t>
  </si>
  <si>
    <t>Hydraulic Pump Shaft Seal</t>
  </si>
  <si>
    <t>HOP-SS-401</t>
  </si>
  <si>
    <t>SP-00012</t>
  </si>
  <si>
    <t>Hydraulic Pump Pressure Relief Valve</t>
  </si>
  <si>
    <t>HOP-PRV-402</t>
  </si>
  <si>
    <t>SP-00013</t>
  </si>
  <si>
    <t>SP-00014</t>
  </si>
  <si>
    <t>SP-00015</t>
  </si>
  <si>
    <t>FO Separator Bowl Disc Stack</t>
  </si>
  <si>
    <t>FOS-BDS-501</t>
  </si>
  <si>
    <t>SP-00016</t>
  </si>
  <si>
    <t>FO Separator Discharge Valve Assembly</t>
  </si>
  <si>
    <t>FOS-DVA-502</t>
  </si>
  <si>
    <t>SP-00017</t>
  </si>
  <si>
    <t>SP-00018</t>
  </si>
  <si>
    <t>SP-00019</t>
  </si>
  <si>
    <t>DO Separator Pump Impeller</t>
  </si>
  <si>
    <t>DOS-PI-601</t>
  </si>
  <si>
    <t>SP-00020</t>
  </si>
  <si>
    <t>DO Separator Pump Shaft Coupling</t>
  </si>
  <si>
    <t>DOS-SC-602</t>
  </si>
  <si>
    <t>SP-00021</t>
  </si>
  <si>
    <t>SP-00022</t>
  </si>
  <si>
    <t>SP-00023</t>
  </si>
  <si>
    <t>LO Preheater Heating Element</t>
  </si>
  <si>
    <t>LOP-HE-701</t>
  </si>
  <si>
    <t>SP-00024</t>
  </si>
  <si>
    <t>LO Preheater Thermostat Control Valve</t>
  </si>
  <si>
    <t>LOP-TCV-702</t>
  </si>
  <si>
    <t>SP-00025</t>
  </si>
  <si>
    <t>SP-00026</t>
  </si>
  <si>
    <t>SP-00027</t>
  </si>
  <si>
    <t>SP-00028</t>
  </si>
  <si>
    <t>SP-00029</t>
  </si>
  <si>
    <t>SP-00030</t>
  </si>
  <si>
    <t>SP-00031</t>
  </si>
  <si>
    <t>LO Sep Booster Pump Seal Ring</t>
  </si>
  <si>
    <t>LSB-SR-901</t>
  </si>
  <si>
    <t>SP-00032</t>
  </si>
  <si>
    <t>LO Sep Booster Pump Drive Coupling</t>
  </si>
  <si>
    <t>LSB-DC-902</t>
  </si>
  <si>
    <t>SP-00033</t>
  </si>
  <si>
    <t>SP-00034</t>
  </si>
  <si>
    <t>401-2-F-0</t>
  </si>
  <si>
    <t>Original Equipment spare</t>
  </si>
  <si>
    <t>401-1-E-9</t>
  </si>
  <si>
    <t>501-1-G-1</t>
  </si>
  <si>
    <t>501-2-H-2</t>
  </si>
  <si>
    <t>601-1-I-3</t>
  </si>
  <si>
    <t>601-2-J-4</t>
  </si>
  <si>
    <t>701-1-K-5</t>
  </si>
  <si>
    <t>701-2-L-6</t>
  </si>
  <si>
    <t>801-1-M-7</t>
  </si>
  <si>
    <t>801-2-N-8</t>
  </si>
  <si>
    <t>1001-1-Q-1</t>
  </si>
  <si>
    <t>1001-2-R-2</t>
  </si>
  <si>
    <t>Stainless steel</t>
  </si>
  <si>
    <t>Synthetic rubber</t>
  </si>
  <si>
    <t>Nitrile</t>
  </si>
  <si>
    <t>Aluminum alloy</t>
  </si>
  <si>
    <t>Cellulose</t>
  </si>
  <si>
    <t>Steel</t>
  </si>
  <si>
    <t>Silver/Silver chloride</t>
  </si>
  <si>
    <t>Electronic</t>
  </si>
  <si>
    <t>Synthetic</t>
  </si>
  <si>
    <t>Steel alloy</t>
  </si>
  <si>
    <t>Bronze/Steel</t>
  </si>
  <si>
    <t>Bronze</t>
  </si>
  <si>
    <t>Resistance wire</t>
  </si>
  <si>
    <t>Aalborg Industr</t>
  </si>
  <si>
    <t>Brass</t>
  </si>
  <si>
    <t>Rubber</t>
  </si>
  <si>
    <t>Heishin Pump Wo</t>
  </si>
  <si>
    <t>Engine Store</t>
  </si>
  <si>
    <t>Main Store</t>
  </si>
  <si>
    <t>erf</t>
  </si>
  <si>
    <t>1001-2-R-3</t>
  </si>
  <si>
    <t>1001-2-R-4</t>
  </si>
  <si>
    <t>3</t>
  </si>
  <si>
    <t>1001-2-R-5</t>
  </si>
  <si>
    <t>1001-2-R-6</t>
  </si>
  <si>
    <t>5</t>
  </si>
  <si>
    <t>1001-2-R-7</t>
  </si>
  <si>
    <t>1001-2-R-8</t>
  </si>
  <si>
    <t>1001-2-R-9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</si>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</sst>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1" xfId="0" applyFill="1" applyBorder="1" applyAlignment="1">
      <alignment horizontal="lef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tabSelected="1" workbookViewId="0">
      <selection activeCell="I28" sqref="I28:K35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style="4" customWidth="1"/>
    <col min="23" max="23" width="14" style="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195</v>
      </c>
      <c r="B2" t="s">
        <v>81</v>
      </c>
      <c r="C2" t="s">
        <v>82</v>
      </c>
      <c r="D2" t="s">
        <v>83</v>
      </c>
      <c r="E2" t="s">
        <v>82</v>
      </c>
      <c r="F2" t="s">
        <v>196</v>
      </c>
      <c r="G2" t="s">
        <v>197</v>
      </c>
      <c r="H2" t="s">
        <v>186</v>
      </c>
      <c r="I2" t="s">
        <v>265</v>
      </c>
      <c r="J2" t="s">
        <v>176</v>
      </c>
      <c r="K2" t="s">
        <v>266</v>
      </c>
      <c r="L2" t="s">
        <v>278</v>
      </c>
      <c r="M2" t="s">
        <v>84</v>
      </c>
      <c r="N2" t="s">
        <v>85</v>
      </c>
      <c r="O2" t="s">
        <v>297</v>
      </c>
      <c r="P2">
        <v>24</v>
      </c>
      <c r="Q2" t="s">
        <v>31</v>
      </c>
      <c r="R2">
        <f>T2+V2</f>
        <v>3</v>
      </c>
      <c r="S2" t="s">
        <v>295</v>
      </c>
      <c r="T2">
        <v>2</v>
      </c>
      <c r="U2" t="s">
        <v>296</v>
      </c>
      <c r="V2" s="3">
        <v>1</v>
      </c>
      <c r="W2" s="3">
        <v>2</v>
      </c>
      <c r="X2" t="s">
        <v>30</v>
      </c>
      <c r="Y2" t="s">
        <v>31</v>
      </c>
      <c r="Z2" t="s">
        <v>27</v>
      </c>
      <c r="AA2" t="s">
        <v>32</v>
      </c>
    </row>
    <row r="3" spans="1:27" x14ac:dyDescent="0.3">
      <c r="A3" t="s">
        <v>198</v>
      </c>
      <c r="B3" t="s">
        <v>81</v>
      </c>
      <c r="C3" t="s">
        <v>82</v>
      </c>
      <c r="D3" t="s">
        <v>83</v>
      </c>
      <c r="E3" t="s">
        <v>82</v>
      </c>
      <c r="F3" t="s">
        <v>199</v>
      </c>
      <c r="G3" t="s">
        <v>200</v>
      </c>
      <c r="H3" t="s">
        <v>185</v>
      </c>
      <c r="I3" t="s">
        <v>267</v>
      </c>
      <c r="J3" t="s">
        <v>176</v>
      </c>
      <c r="K3" t="s">
        <v>266</v>
      </c>
      <c r="L3" t="s">
        <v>279</v>
      </c>
      <c r="M3" t="s">
        <v>84</v>
      </c>
      <c r="N3" t="s">
        <v>85</v>
      </c>
      <c r="O3" t="s">
        <v>27</v>
      </c>
      <c r="P3">
        <f>P2+4</f>
        <v>28</v>
      </c>
      <c r="Q3" t="s">
        <v>30</v>
      </c>
      <c r="R3">
        <f t="shared" ref="R3:R35" si="0">T3+V3</f>
        <v>9</v>
      </c>
      <c r="S3" t="s">
        <v>295</v>
      </c>
      <c r="T3">
        <v>8</v>
      </c>
      <c r="U3" t="s">
        <v>296</v>
      </c>
      <c r="V3" s="3">
        <v>1</v>
      </c>
      <c r="W3" s="3">
        <v>1</v>
      </c>
      <c r="X3" t="s">
        <v>30</v>
      </c>
      <c r="Y3" t="s">
        <v>31</v>
      </c>
      <c r="Z3" t="s">
        <v>27</v>
      </c>
      <c r="AA3" t="s">
        <v>32</v>
      </c>
    </row>
    <row r="4" spans="1:27" x14ac:dyDescent="0.3">
      <c r="A4" t="s">
        <v>201</v>
      </c>
      <c r="B4" t="s">
        <v>86</v>
      </c>
      <c r="C4" t="s">
        <v>87</v>
      </c>
      <c r="D4" t="s">
        <v>88</v>
      </c>
      <c r="E4" t="s">
        <v>87</v>
      </c>
      <c r="F4" t="s">
        <v>202</v>
      </c>
      <c r="G4" t="s">
        <v>203</v>
      </c>
      <c r="H4" t="s">
        <v>188</v>
      </c>
      <c r="I4" t="s">
        <v>265</v>
      </c>
      <c r="J4" t="s">
        <v>176</v>
      </c>
      <c r="K4" t="s">
        <v>266</v>
      </c>
      <c r="L4" t="s">
        <v>280</v>
      </c>
      <c r="M4" t="s">
        <v>89</v>
      </c>
      <c r="N4" t="s">
        <v>90</v>
      </c>
      <c r="O4" t="s">
        <v>27</v>
      </c>
      <c r="P4">
        <v>25</v>
      </c>
      <c r="Q4" t="s">
        <v>31</v>
      </c>
      <c r="R4">
        <f t="shared" si="0"/>
        <v>8</v>
      </c>
      <c r="S4" t="s">
        <v>295</v>
      </c>
      <c r="T4">
        <v>4</v>
      </c>
      <c r="U4" t="s">
        <v>296</v>
      </c>
      <c r="V4" s="3">
        <v>4</v>
      </c>
      <c r="W4" s="3">
        <v>0</v>
      </c>
      <c r="X4" t="s">
        <v>30</v>
      </c>
      <c r="Y4" t="s">
        <v>31</v>
      </c>
      <c r="Z4" t="s">
        <v>27</v>
      </c>
      <c r="AA4" t="s">
        <v>32</v>
      </c>
    </row>
    <row r="5" spans="1:27" x14ac:dyDescent="0.3">
      <c r="A5" t="s">
        <v>204</v>
      </c>
      <c r="B5" t="s">
        <v>86</v>
      </c>
      <c r="C5" t="s">
        <v>87</v>
      </c>
      <c r="D5" t="s">
        <v>88</v>
      </c>
      <c r="E5" t="s">
        <v>87</v>
      </c>
      <c r="F5" t="s">
        <v>205</v>
      </c>
      <c r="G5" t="s">
        <v>206</v>
      </c>
      <c r="H5" t="s">
        <v>192</v>
      </c>
      <c r="I5" t="s">
        <v>268</v>
      </c>
      <c r="J5" t="s">
        <v>28</v>
      </c>
      <c r="K5" t="s">
        <v>266</v>
      </c>
      <c r="L5" t="s">
        <v>281</v>
      </c>
      <c r="M5" t="s">
        <v>89</v>
      </c>
      <c r="N5" t="s">
        <v>90</v>
      </c>
      <c r="O5" t="s">
        <v>27</v>
      </c>
      <c r="P5">
        <f t="shared" ref="P5:P18" si="1">P4+4</f>
        <v>29</v>
      </c>
      <c r="Q5" t="s">
        <v>30</v>
      </c>
      <c r="R5">
        <f t="shared" si="0"/>
        <v>12</v>
      </c>
      <c r="S5" t="s">
        <v>295</v>
      </c>
      <c r="T5">
        <v>8</v>
      </c>
      <c r="U5" t="s">
        <v>296</v>
      </c>
      <c r="V5" s="3">
        <v>4</v>
      </c>
      <c r="W5" s="3">
        <v>1</v>
      </c>
      <c r="X5" t="s">
        <v>30</v>
      </c>
      <c r="Y5" t="s">
        <v>31</v>
      </c>
      <c r="Z5" t="s">
        <v>27</v>
      </c>
      <c r="AA5" t="s">
        <v>32</v>
      </c>
    </row>
    <row r="6" spans="1:27" x14ac:dyDescent="0.3">
      <c r="A6" t="s">
        <v>207</v>
      </c>
      <c r="B6" t="s">
        <v>91</v>
      </c>
      <c r="C6" t="s">
        <v>92</v>
      </c>
      <c r="D6" t="s">
        <v>93</v>
      </c>
      <c r="E6" t="s">
        <v>92</v>
      </c>
      <c r="F6" t="s">
        <v>208</v>
      </c>
      <c r="G6" t="s">
        <v>209</v>
      </c>
      <c r="H6" t="s">
        <v>194</v>
      </c>
      <c r="I6" t="s">
        <v>269</v>
      </c>
      <c r="J6" t="s">
        <v>176</v>
      </c>
      <c r="K6" t="s">
        <v>266</v>
      </c>
      <c r="L6" t="s">
        <v>282</v>
      </c>
      <c r="M6" t="s">
        <v>94</v>
      </c>
      <c r="N6" t="s">
        <v>95</v>
      </c>
      <c r="O6" t="s">
        <v>27</v>
      </c>
      <c r="P6">
        <v>26</v>
      </c>
      <c r="Q6" t="s">
        <v>31</v>
      </c>
      <c r="R6">
        <f t="shared" si="0"/>
        <v>7</v>
      </c>
      <c r="S6" t="s">
        <v>295</v>
      </c>
      <c r="T6">
        <v>4</v>
      </c>
      <c r="U6" t="s">
        <v>296</v>
      </c>
      <c r="V6" s="3">
        <v>3</v>
      </c>
      <c r="W6" s="3">
        <v>0</v>
      </c>
      <c r="X6" t="s">
        <v>30</v>
      </c>
      <c r="Y6" t="s">
        <v>31</v>
      </c>
      <c r="Z6" t="s">
        <v>27</v>
      </c>
      <c r="AA6" t="s">
        <v>32</v>
      </c>
    </row>
    <row r="7" spans="1:27" x14ac:dyDescent="0.3">
      <c r="A7" t="s">
        <v>210</v>
      </c>
      <c r="B7" t="s">
        <v>91</v>
      </c>
      <c r="C7" t="s">
        <v>92</v>
      </c>
      <c r="D7" t="s">
        <v>93</v>
      </c>
      <c r="E7" t="s">
        <v>92</v>
      </c>
      <c r="F7" t="s">
        <v>211</v>
      </c>
      <c r="G7" t="s">
        <v>212</v>
      </c>
      <c r="H7" t="s">
        <v>186</v>
      </c>
      <c r="I7" t="s">
        <v>268</v>
      </c>
      <c r="J7" t="s">
        <v>28</v>
      </c>
      <c r="K7" t="s">
        <v>266</v>
      </c>
      <c r="L7" t="s">
        <v>283</v>
      </c>
      <c r="M7" t="s">
        <v>94</v>
      </c>
      <c r="N7" t="s">
        <v>95</v>
      </c>
      <c r="O7" t="s">
        <v>27</v>
      </c>
      <c r="P7">
        <f t="shared" ref="P7:P18" si="2">P6+4</f>
        <v>30</v>
      </c>
      <c r="Q7" t="s">
        <v>31</v>
      </c>
      <c r="R7">
        <f t="shared" si="0"/>
        <v>6</v>
      </c>
      <c r="S7" t="s">
        <v>295</v>
      </c>
      <c r="T7">
        <v>5</v>
      </c>
      <c r="U7" t="s">
        <v>296</v>
      </c>
      <c r="V7" s="3">
        <v>1</v>
      </c>
      <c r="W7" s="3">
        <v>1</v>
      </c>
      <c r="X7" t="s">
        <v>30</v>
      </c>
      <c r="Y7" t="s">
        <v>31</v>
      </c>
      <c r="Z7" t="s">
        <v>27</v>
      </c>
      <c r="AA7" t="s">
        <v>32</v>
      </c>
    </row>
    <row r="8" spans="1:27" x14ac:dyDescent="0.3">
      <c r="A8" t="s">
        <v>213</v>
      </c>
      <c r="B8" t="s">
        <v>96</v>
      </c>
      <c r="C8" t="s">
        <v>62</v>
      </c>
      <c r="D8" t="s">
        <v>97</v>
      </c>
      <c r="E8" t="s">
        <v>98</v>
      </c>
      <c r="F8" t="s">
        <v>214</v>
      </c>
      <c r="G8" t="s">
        <v>215</v>
      </c>
      <c r="H8" t="s">
        <v>185</v>
      </c>
      <c r="I8" t="s">
        <v>269</v>
      </c>
      <c r="J8" t="s">
        <v>176</v>
      </c>
      <c r="K8" t="s">
        <v>266</v>
      </c>
      <c r="L8" t="s">
        <v>284</v>
      </c>
      <c r="M8" t="s">
        <v>99</v>
      </c>
      <c r="N8" t="s">
        <v>100</v>
      </c>
      <c r="O8" t="s">
        <v>27</v>
      </c>
      <c r="P8">
        <v>27</v>
      </c>
      <c r="Q8" t="s">
        <v>31</v>
      </c>
      <c r="R8">
        <f t="shared" si="0"/>
        <v>10</v>
      </c>
      <c r="S8" t="s">
        <v>295</v>
      </c>
      <c r="T8">
        <v>8</v>
      </c>
      <c r="U8" t="s">
        <v>296</v>
      </c>
      <c r="V8" s="3">
        <v>2</v>
      </c>
      <c r="W8" s="3">
        <v>1</v>
      </c>
      <c r="X8" t="s">
        <v>30</v>
      </c>
      <c r="Y8" t="s">
        <v>31</v>
      </c>
      <c r="Z8" t="s">
        <v>27</v>
      </c>
      <c r="AA8" t="s">
        <v>32</v>
      </c>
    </row>
    <row r="9" spans="1:27" x14ac:dyDescent="0.3">
      <c r="A9" t="s">
        <v>216</v>
      </c>
      <c r="B9" t="s">
        <v>96</v>
      </c>
      <c r="C9" t="s">
        <v>62</v>
      </c>
      <c r="D9" t="s">
        <v>97</v>
      </c>
      <c r="E9" t="s">
        <v>98</v>
      </c>
      <c r="F9" t="s">
        <v>217</v>
      </c>
      <c r="G9" t="s">
        <v>218</v>
      </c>
      <c r="H9" t="s">
        <v>188</v>
      </c>
      <c r="I9" t="s">
        <v>270</v>
      </c>
      <c r="J9" t="s">
        <v>176</v>
      </c>
      <c r="K9" t="s">
        <v>266</v>
      </c>
      <c r="L9" t="s">
        <v>285</v>
      </c>
      <c r="M9" t="s">
        <v>99</v>
      </c>
      <c r="N9" t="s">
        <v>100</v>
      </c>
      <c r="O9" t="s">
        <v>27</v>
      </c>
      <c r="P9">
        <f t="shared" ref="P9:P18" si="3">P8+4</f>
        <v>31</v>
      </c>
      <c r="Q9" t="s">
        <v>31</v>
      </c>
      <c r="R9">
        <f t="shared" si="0"/>
        <v>9</v>
      </c>
      <c r="S9" t="s">
        <v>295</v>
      </c>
      <c r="T9">
        <v>7</v>
      </c>
      <c r="U9" t="s">
        <v>296</v>
      </c>
      <c r="V9" s="3">
        <v>2</v>
      </c>
      <c r="W9" s="3">
        <v>0</v>
      </c>
      <c r="X9" t="s">
        <v>30</v>
      </c>
      <c r="Y9" t="s">
        <v>31</v>
      </c>
      <c r="Z9" t="s">
        <v>27</v>
      </c>
      <c r="AA9" t="s">
        <v>32</v>
      </c>
    </row>
    <row r="10" spans="1:27" x14ac:dyDescent="0.3">
      <c r="A10" t="s">
        <v>219</v>
      </c>
      <c r="B10" t="s">
        <v>96</v>
      </c>
      <c r="C10" t="s">
        <v>62</v>
      </c>
      <c r="D10" t="s">
        <v>101</v>
      </c>
      <c r="E10" t="s">
        <v>102</v>
      </c>
      <c r="F10" t="s">
        <v>214</v>
      </c>
      <c r="G10" t="s">
        <v>215</v>
      </c>
      <c r="H10" t="s">
        <v>192</v>
      </c>
      <c r="I10" t="s">
        <v>271</v>
      </c>
      <c r="J10" t="s">
        <v>176</v>
      </c>
      <c r="K10" t="s">
        <v>266</v>
      </c>
      <c r="L10" t="s">
        <v>284</v>
      </c>
      <c r="M10" t="s">
        <v>99</v>
      </c>
      <c r="N10" t="s">
        <v>100</v>
      </c>
      <c r="O10" t="s">
        <v>27</v>
      </c>
      <c r="P10">
        <v>28</v>
      </c>
      <c r="Q10" t="s">
        <v>31</v>
      </c>
      <c r="R10">
        <f t="shared" si="0"/>
        <v>10</v>
      </c>
      <c r="S10" t="s">
        <v>295</v>
      </c>
      <c r="T10">
        <v>7</v>
      </c>
      <c r="U10" t="s">
        <v>296</v>
      </c>
      <c r="V10" s="3">
        <v>3</v>
      </c>
      <c r="W10" s="3">
        <v>1</v>
      </c>
      <c r="X10" t="s">
        <v>30</v>
      </c>
      <c r="Y10" t="s">
        <v>31</v>
      </c>
      <c r="Z10" t="s">
        <v>27</v>
      </c>
      <c r="AA10" t="s">
        <v>32</v>
      </c>
    </row>
    <row r="11" spans="1:27" x14ac:dyDescent="0.3">
      <c r="A11" t="s">
        <v>220</v>
      </c>
      <c r="B11" t="s">
        <v>96</v>
      </c>
      <c r="C11" t="s">
        <v>62</v>
      </c>
      <c r="D11" t="s">
        <v>101</v>
      </c>
      <c r="E11" t="s">
        <v>102</v>
      </c>
      <c r="F11" t="s">
        <v>217</v>
      </c>
      <c r="G11" t="s">
        <v>218</v>
      </c>
      <c r="H11" t="s">
        <v>194</v>
      </c>
      <c r="I11" t="s">
        <v>270</v>
      </c>
      <c r="J11" t="s">
        <v>176</v>
      </c>
      <c r="K11" t="s">
        <v>266</v>
      </c>
      <c r="L11" t="s">
        <v>285</v>
      </c>
      <c r="M11" t="s">
        <v>99</v>
      </c>
      <c r="N11" t="s">
        <v>100</v>
      </c>
      <c r="O11" t="s">
        <v>27</v>
      </c>
      <c r="P11">
        <f t="shared" ref="P11:P18" si="4">P10+4</f>
        <v>32</v>
      </c>
      <c r="Q11" t="s">
        <v>31</v>
      </c>
      <c r="R11">
        <f t="shared" si="0"/>
        <v>9</v>
      </c>
      <c r="S11" t="s">
        <v>295</v>
      </c>
      <c r="T11">
        <v>7</v>
      </c>
      <c r="U11" t="s">
        <v>296</v>
      </c>
      <c r="V11" s="3">
        <v>2</v>
      </c>
      <c r="W11" s="3">
        <v>2</v>
      </c>
      <c r="X11" t="s">
        <v>30</v>
      </c>
      <c r="Y11" t="s">
        <v>31</v>
      </c>
      <c r="Z11" t="s">
        <v>27</v>
      </c>
      <c r="AA11" t="s">
        <v>32</v>
      </c>
    </row>
    <row r="12" spans="1:27" x14ac:dyDescent="0.3">
      <c r="A12" t="s">
        <v>221</v>
      </c>
      <c r="B12" t="s">
        <v>103</v>
      </c>
      <c r="C12" t="s">
        <v>64</v>
      </c>
      <c r="D12" t="s">
        <v>104</v>
      </c>
      <c r="E12" t="s">
        <v>105</v>
      </c>
      <c r="F12" t="s">
        <v>222</v>
      </c>
      <c r="G12" t="s">
        <v>223</v>
      </c>
      <c r="H12" t="s">
        <v>186</v>
      </c>
      <c r="I12" t="s">
        <v>271</v>
      </c>
      <c r="J12" t="s">
        <v>176</v>
      </c>
      <c r="K12" t="s">
        <v>266</v>
      </c>
      <c r="L12" t="s">
        <v>286</v>
      </c>
      <c r="M12" t="s">
        <v>89</v>
      </c>
      <c r="N12" t="s">
        <v>90</v>
      </c>
      <c r="O12" t="s">
        <v>27</v>
      </c>
      <c r="P12">
        <v>29</v>
      </c>
      <c r="Q12" t="s">
        <v>31</v>
      </c>
      <c r="R12">
        <f t="shared" si="0"/>
        <v>9</v>
      </c>
      <c r="S12" t="s">
        <v>295</v>
      </c>
      <c r="T12">
        <v>8</v>
      </c>
      <c r="U12" t="s">
        <v>296</v>
      </c>
      <c r="V12" s="3">
        <v>1</v>
      </c>
      <c r="W12" s="3">
        <v>2</v>
      </c>
      <c r="X12" t="s">
        <v>30</v>
      </c>
      <c r="Y12" t="s">
        <v>31</v>
      </c>
      <c r="Z12" t="s">
        <v>27</v>
      </c>
      <c r="AA12" t="s">
        <v>32</v>
      </c>
    </row>
    <row r="13" spans="1:27" x14ac:dyDescent="0.3">
      <c r="A13" t="s">
        <v>224</v>
      </c>
      <c r="B13" t="s">
        <v>103</v>
      </c>
      <c r="C13" t="s">
        <v>64</v>
      </c>
      <c r="D13" t="s">
        <v>104</v>
      </c>
      <c r="E13" t="s">
        <v>105</v>
      </c>
      <c r="F13" t="s">
        <v>225</v>
      </c>
      <c r="G13" t="s">
        <v>226</v>
      </c>
      <c r="H13" t="s">
        <v>185</v>
      </c>
      <c r="I13" t="s">
        <v>272</v>
      </c>
      <c r="J13" t="s">
        <v>176</v>
      </c>
      <c r="K13" t="s">
        <v>266</v>
      </c>
      <c r="L13" t="s">
        <v>283</v>
      </c>
      <c r="M13" t="s">
        <v>89</v>
      </c>
      <c r="N13" t="s">
        <v>90</v>
      </c>
      <c r="O13" t="s">
        <v>27</v>
      </c>
      <c r="P13">
        <f t="shared" ref="P13:P18" si="5">P12+4</f>
        <v>33</v>
      </c>
      <c r="Q13" t="s">
        <v>31</v>
      </c>
      <c r="R13">
        <f t="shared" si="0"/>
        <v>6</v>
      </c>
      <c r="S13" t="s">
        <v>295</v>
      </c>
      <c r="T13">
        <v>4</v>
      </c>
      <c r="U13" t="s">
        <v>296</v>
      </c>
      <c r="V13" s="3">
        <v>2</v>
      </c>
      <c r="W13" s="3">
        <v>2</v>
      </c>
      <c r="X13" t="s">
        <v>30</v>
      </c>
      <c r="Y13" t="s">
        <v>31</v>
      </c>
      <c r="Z13" t="s">
        <v>27</v>
      </c>
      <c r="AA13" t="s">
        <v>32</v>
      </c>
    </row>
    <row r="14" spans="1:27" x14ac:dyDescent="0.3">
      <c r="A14" t="s">
        <v>227</v>
      </c>
      <c r="B14" t="s">
        <v>103</v>
      </c>
      <c r="C14" t="s">
        <v>64</v>
      </c>
      <c r="D14" t="s">
        <v>106</v>
      </c>
      <c r="E14" t="s">
        <v>107</v>
      </c>
      <c r="F14" t="s">
        <v>222</v>
      </c>
      <c r="G14" t="s">
        <v>223</v>
      </c>
      <c r="H14" t="s">
        <v>188</v>
      </c>
      <c r="I14" t="s">
        <v>273</v>
      </c>
      <c r="J14" t="s">
        <v>176</v>
      </c>
      <c r="K14" t="s">
        <v>266</v>
      </c>
      <c r="L14" t="s">
        <v>286</v>
      </c>
      <c r="M14" t="s">
        <v>89</v>
      </c>
      <c r="N14" t="s">
        <v>90</v>
      </c>
      <c r="O14" t="s">
        <v>27</v>
      </c>
      <c r="P14">
        <v>30</v>
      </c>
      <c r="Q14" t="s">
        <v>31</v>
      </c>
      <c r="R14">
        <f t="shared" si="0"/>
        <v>7</v>
      </c>
      <c r="S14" t="s">
        <v>295</v>
      </c>
      <c r="T14">
        <v>6</v>
      </c>
      <c r="U14" t="s">
        <v>296</v>
      </c>
      <c r="V14" s="3">
        <v>1</v>
      </c>
      <c r="W14" s="3">
        <v>0</v>
      </c>
      <c r="X14" t="s">
        <v>30</v>
      </c>
      <c r="Y14" t="s">
        <v>31</v>
      </c>
      <c r="Z14" t="s">
        <v>27</v>
      </c>
      <c r="AA14" t="s">
        <v>32</v>
      </c>
    </row>
    <row r="15" spans="1:27" x14ac:dyDescent="0.3">
      <c r="A15" t="s">
        <v>228</v>
      </c>
      <c r="B15" t="s">
        <v>103</v>
      </c>
      <c r="C15" t="s">
        <v>64</v>
      </c>
      <c r="D15" t="s">
        <v>106</v>
      </c>
      <c r="E15" t="s">
        <v>107</v>
      </c>
      <c r="F15" t="s">
        <v>225</v>
      </c>
      <c r="G15" t="s">
        <v>226</v>
      </c>
      <c r="H15" t="s">
        <v>192</v>
      </c>
      <c r="I15" t="s">
        <v>272</v>
      </c>
      <c r="J15" t="s">
        <v>176</v>
      </c>
      <c r="K15" t="s">
        <v>266</v>
      </c>
      <c r="L15" t="s">
        <v>283</v>
      </c>
      <c r="M15" t="s">
        <v>89</v>
      </c>
      <c r="N15" t="s">
        <v>90</v>
      </c>
      <c r="O15" t="s">
        <v>27</v>
      </c>
      <c r="P15">
        <f t="shared" ref="P15:P18" si="6">P14+4</f>
        <v>34</v>
      </c>
      <c r="Q15" t="s">
        <v>31</v>
      </c>
      <c r="R15">
        <f t="shared" si="0"/>
        <v>6</v>
      </c>
      <c r="S15" t="s">
        <v>295</v>
      </c>
      <c r="T15">
        <v>3</v>
      </c>
      <c r="U15" t="s">
        <v>296</v>
      </c>
      <c r="V15" s="3">
        <v>3</v>
      </c>
      <c r="W15" s="3">
        <v>0</v>
      </c>
      <c r="X15" t="s">
        <v>30</v>
      </c>
      <c r="Y15" t="s">
        <v>31</v>
      </c>
      <c r="Z15" t="s">
        <v>27</v>
      </c>
      <c r="AA15" t="s">
        <v>32</v>
      </c>
    </row>
    <row r="16" spans="1:27" x14ac:dyDescent="0.3">
      <c r="A16" t="s">
        <v>229</v>
      </c>
      <c r="B16" t="s">
        <v>147</v>
      </c>
      <c r="C16" t="s">
        <v>72</v>
      </c>
      <c r="D16" t="s">
        <v>148</v>
      </c>
      <c r="E16" t="s">
        <v>149</v>
      </c>
      <c r="F16" t="s">
        <v>230</v>
      </c>
      <c r="G16" t="s">
        <v>231</v>
      </c>
      <c r="H16" t="s">
        <v>194</v>
      </c>
      <c r="I16" t="s">
        <v>273</v>
      </c>
      <c r="J16" t="s">
        <v>176</v>
      </c>
      <c r="K16" t="s">
        <v>266</v>
      </c>
      <c r="L16" t="s">
        <v>287</v>
      </c>
      <c r="M16" t="s">
        <v>150</v>
      </c>
      <c r="N16" t="s">
        <v>151</v>
      </c>
      <c r="O16" t="s">
        <v>27</v>
      </c>
      <c r="P16">
        <v>31</v>
      </c>
      <c r="Q16" t="s">
        <v>31</v>
      </c>
      <c r="R16">
        <f t="shared" si="0"/>
        <v>5</v>
      </c>
      <c r="S16" t="s">
        <v>295</v>
      </c>
      <c r="T16">
        <v>2</v>
      </c>
      <c r="U16" t="s">
        <v>296</v>
      </c>
      <c r="V16" s="3">
        <v>3</v>
      </c>
      <c r="W16" s="3">
        <v>1</v>
      </c>
      <c r="X16" t="s">
        <v>30</v>
      </c>
      <c r="Y16" t="s">
        <v>31</v>
      </c>
      <c r="Z16" t="s">
        <v>27</v>
      </c>
      <c r="AA16" t="s">
        <v>32</v>
      </c>
    </row>
    <row r="17" spans="1:27" x14ac:dyDescent="0.3">
      <c r="A17" t="s">
        <v>232</v>
      </c>
      <c r="B17" t="s">
        <v>147</v>
      </c>
      <c r="C17" t="s">
        <v>72</v>
      </c>
      <c r="D17" t="s">
        <v>148</v>
      </c>
      <c r="E17" t="s">
        <v>149</v>
      </c>
      <c r="F17" t="s">
        <v>233</v>
      </c>
      <c r="G17" t="s">
        <v>234</v>
      </c>
      <c r="H17" t="s">
        <v>186</v>
      </c>
      <c r="I17" t="s">
        <v>274</v>
      </c>
      <c r="J17" t="s">
        <v>176</v>
      </c>
      <c r="K17" t="s">
        <v>266</v>
      </c>
      <c r="L17" t="s">
        <v>288</v>
      </c>
      <c r="M17" t="s">
        <v>150</v>
      </c>
      <c r="N17" t="s">
        <v>151</v>
      </c>
      <c r="O17" t="s">
        <v>27</v>
      </c>
      <c r="P17">
        <f t="shared" ref="P17:P18" si="7">P16+4</f>
        <v>35</v>
      </c>
      <c r="Q17" t="s">
        <v>31</v>
      </c>
      <c r="R17">
        <f t="shared" si="0"/>
        <v>10</v>
      </c>
      <c r="S17" t="s">
        <v>295</v>
      </c>
      <c r="T17">
        <v>6</v>
      </c>
      <c r="U17" t="s">
        <v>296</v>
      </c>
      <c r="V17" s="3">
        <v>4</v>
      </c>
      <c r="W17" s="3">
        <v>2</v>
      </c>
      <c r="X17" t="s">
        <v>30</v>
      </c>
      <c r="Y17" t="s">
        <v>31</v>
      </c>
      <c r="Z17" t="s">
        <v>27</v>
      </c>
      <c r="AA17" t="s">
        <v>32</v>
      </c>
    </row>
    <row r="18" spans="1:27" x14ac:dyDescent="0.3">
      <c r="A18" t="s">
        <v>235</v>
      </c>
      <c r="B18" t="s">
        <v>147</v>
      </c>
      <c r="C18" t="s">
        <v>72</v>
      </c>
      <c r="D18" t="s">
        <v>152</v>
      </c>
      <c r="E18" t="s">
        <v>153</v>
      </c>
      <c r="F18" t="s">
        <v>230</v>
      </c>
      <c r="G18" t="s">
        <v>231</v>
      </c>
      <c r="H18" t="s">
        <v>185</v>
      </c>
      <c r="I18" t="s">
        <v>275</v>
      </c>
      <c r="J18" t="s">
        <v>176</v>
      </c>
      <c r="K18" t="s">
        <v>266</v>
      </c>
      <c r="L18" t="s">
        <v>287</v>
      </c>
      <c r="M18" t="s">
        <v>150</v>
      </c>
      <c r="N18" t="s">
        <v>151</v>
      </c>
      <c r="O18" t="s">
        <v>27</v>
      </c>
      <c r="P18">
        <v>32</v>
      </c>
      <c r="Q18" t="s">
        <v>31</v>
      </c>
      <c r="R18">
        <f t="shared" si="0"/>
        <v>8</v>
      </c>
      <c r="S18" t="s">
        <v>295</v>
      </c>
      <c r="T18">
        <v>7</v>
      </c>
      <c r="U18" t="s">
        <v>296</v>
      </c>
      <c r="V18" s="3">
        <v>1</v>
      </c>
      <c r="W18" s="3">
        <v>1</v>
      </c>
      <c r="X18" t="s">
        <v>30</v>
      </c>
      <c r="Y18" t="s">
        <v>31</v>
      </c>
      <c r="Z18" t="s">
        <v>27</v>
      </c>
      <c r="AA18" t="s">
        <v>32</v>
      </c>
    </row>
    <row r="19" spans="1:27" x14ac:dyDescent="0.3">
      <c r="A19" t="s">
        <v>236</v>
      </c>
      <c r="B19" t="s">
        <v>147</v>
      </c>
      <c r="C19" t="s">
        <v>72</v>
      </c>
      <c r="D19" t="s">
        <v>152</v>
      </c>
      <c r="E19" t="s">
        <v>153</v>
      </c>
      <c r="F19" t="s">
        <v>233</v>
      </c>
      <c r="G19" t="s">
        <v>234</v>
      </c>
      <c r="H19" t="s">
        <v>188</v>
      </c>
      <c r="I19" t="s">
        <v>274</v>
      </c>
      <c r="J19" t="s">
        <v>176</v>
      </c>
      <c r="K19" t="s">
        <v>266</v>
      </c>
      <c r="L19" t="s">
        <v>288</v>
      </c>
      <c r="M19" t="s">
        <v>150</v>
      </c>
      <c r="N19" t="s">
        <v>151</v>
      </c>
      <c r="P19">
        <v>25</v>
      </c>
      <c r="Q19" t="s">
        <v>30</v>
      </c>
      <c r="R19">
        <f>T19+V19</f>
        <v>8</v>
      </c>
      <c r="S19" t="s">
        <v>295</v>
      </c>
      <c r="T19">
        <v>7</v>
      </c>
      <c r="U19" t="s">
        <v>296</v>
      </c>
      <c r="V19" s="3">
        <v>1</v>
      </c>
      <c r="W19" s="3">
        <v>1</v>
      </c>
      <c r="X19" t="s">
        <v>30</v>
      </c>
      <c r="Y19" t="s">
        <v>31</v>
      </c>
    </row>
    <row r="20" spans="1:27" x14ac:dyDescent="0.3">
      <c r="A20" t="s">
        <v>237</v>
      </c>
      <c r="B20" t="s">
        <v>154</v>
      </c>
      <c r="C20" t="s">
        <v>74</v>
      </c>
      <c r="D20" t="s">
        <v>155</v>
      </c>
      <c r="E20" t="s">
        <v>156</v>
      </c>
      <c r="F20" t="s">
        <v>238</v>
      </c>
      <c r="G20" t="s">
        <v>239</v>
      </c>
      <c r="H20" t="s">
        <v>192</v>
      </c>
      <c r="I20" t="s">
        <v>275</v>
      </c>
      <c r="J20" t="s">
        <v>176</v>
      </c>
      <c r="K20" t="s">
        <v>266</v>
      </c>
      <c r="L20" t="s">
        <v>289</v>
      </c>
      <c r="M20" t="s">
        <v>157</v>
      </c>
      <c r="N20" t="s">
        <v>158</v>
      </c>
      <c r="P20">
        <f>P19+4</f>
        <v>29</v>
      </c>
      <c r="Q20" t="s">
        <v>30</v>
      </c>
      <c r="R20">
        <f t="shared" si="0"/>
        <v>12</v>
      </c>
      <c r="S20" t="s">
        <v>295</v>
      </c>
      <c r="T20">
        <v>8</v>
      </c>
      <c r="U20" t="s">
        <v>296</v>
      </c>
      <c r="V20" s="3">
        <v>4</v>
      </c>
      <c r="W20" s="3">
        <v>2</v>
      </c>
      <c r="X20" t="s">
        <v>30</v>
      </c>
      <c r="Y20" t="s">
        <v>31</v>
      </c>
    </row>
    <row r="21" spans="1:27" x14ac:dyDescent="0.3">
      <c r="A21" t="s">
        <v>240</v>
      </c>
      <c r="B21" t="s">
        <v>154</v>
      </c>
      <c r="C21" t="s">
        <v>74</v>
      </c>
      <c r="D21" t="s">
        <v>155</v>
      </c>
      <c r="E21" t="s">
        <v>156</v>
      </c>
      <c r="F21" t="s">
        <v>241</v>
      </c>
      <c r="G21" t="s">
        <v>242</v>
      </c>
      <c r="H21" t="s">
        <v>194</v>
      </c>
      <c r="I21" t="s">
        <v>270</v>
      </c>
      <c r="J21" t="s">
        <v>176</v>
      </c>
      <c r="K21" t="s">
        <v>266</v>
      </c>
      <c r="L21" t="s">
        <v>283</v>
      </c>
      <c r="M21" t="s">
        <v>157</v>
      </c>
      <c r="N21" t="s">
        <v>158</v>
      </c>
      <c r="P21">
        <v>26</v>
      </c>
      <c r="Q21" t="s">
        <v>31</v>
      </c>
      <c r="R21">
        <f t="shared" si="0"/>
        <v>7</v>
      </c>
      <c r="S21" t="s">
        <v>295</v>
      </c>
      <c r="T21">
        <v>6</v>
      </c>
      <c r="U21" t="s">
        <v>296</v>
      </c>
      <c r="V21" s="3">
        <v>1</v>
      </c>
      <c r="W21" s="3">
        <v>1</v>
      </c>
      <c r="X21" t="s">
        <v>30</v>
      </c>
      <c r="Y21" t="s">
        <v>31</v>
      </c>
    </row>
    <row r="22" spans="1:27" x14ac:dyDescent="0.3">
      <c r="A22" t="s">
        <v>243</v>
      </c>
      <c r="B22" t="s">
        <v>154</v>
      </c>
      <c r="C22" t="s">
        <v>74</v>
      </c>
      <c r="D22" t="s">
        <v>159</v>
      </c>
      <c r="E22" t="s">
        <v>160</v>
      </c>
      <c r="F22" t="s">
        <v>238</v>
      </c>
      <c r="G22" t="s">
        <v>239</v>
      </c>
      <c r="H22" t="s">
        <v>186</v>
      </c>
      <c r="I22" t="s">
        <v>271</v>
      </c>
      <c r="J22" t="s">
        <v>176</v>
      </c>
      <c r="K22" t="s">
        <v>266</v>
      </c>
      <c r="L22" t="s">
        <v>289</v>
      </c>
      <c r="M22" t="s">
        <v>157</v>
      </c>
      <c r="N22" t="s">
        <v>158</v>
      </c>
      <c r="P22">
        <f t="shared" ref="P22:P35" si="8">P21+4</f>
        <v>30</v>
      </c>
      <c r="Q22" t="s">
        <v>31</v>
      </c>
      <c r="R22">
        <f t="shared" si="0"/>
        <v>8</v>
      </c>
      <c r="S22" t="s">
        <v>295</v>
      </c>
      <c r="T22">
        <v>7</v>
      </c>
      <c r="U22" t="s">
        <v>296</v>
      </c>
      <c r="V22" s="3">
        <v>1</v>
      </c>
      <c r="W22" s="3">
        <v>2</v>
      </c>
      <c r="X22" t="s">
        <v>30</v>
      </c>
      <c r="Y22" t="s">
        <v>31</v>
      </c>
    </row>
    <row r="23" spans="1:27" x14ac:dyDescent="0.3">
      <c r="A23" t="s">
        <v>244</v>
      </c>
      <c r="B23" t="s">
        <v>154</v>
      </c>
      <c r="C23" t="s">
        <v>74</v>
      </c>
      <c r="D23" t="s">
        <v>159</v>
      </c>
      <c r="E23" t="s">
        <v>160</v>
      </c>
      <c r="F23" t="s">
        <v>241</v>
      </c>
      <c r="G23" t="s">
        <v>242</v>
      </c>
      <c r="H23" t="s">
        <v>185</v>
      </c>
      <c r="I23" t="s">
        <v>270</v>
      </c>
      <c r="J23" t="s">
        <v>176</v>
      </c>
      <c r="K23" t="s">
        <v>266</v>
      </c>
      <c r="L23" t="s">
        <v>283</v>
      </c>
      <c r="M23" t="s">
        <v>157</v>
      </c>
      <c r="N23" t="s">
        <v>158</v>
      </c>
      <c r="P23">
        <v>27</v>
      </c>
      <c r="Q23" t="s">
        <v>31</v>
      </c>
      <c r="R23">
        <f t="shared" si="0"/>
        <v>7</v>
      </c>
      <c r="S23" t="s">
        <v>295</v>
      </c>
      <c r="T23">
        <v>4</v>
      </c>
      <c r="U23" t="s">
        <v>296</v>
      </c>
      <c r="V23" s="3">
        <v>3</v>
      </c>
      <c r="W23" s="3">
        <v>2</v>
      </c>
      <c r="X23" t="s">
        <v>30</v>
      </c>
      <c r="Y23" t="s">
        <v>31</v>
      </c>
    </row>
    <row r="24" spans="1:27" x14ac:dyDescent="0.3">
      <c r="A24" t="s">
        <v>245</v>
      </c>
      <c r="B24" t="s">
        <v>161</v>
      </c>
      <c r="C24" t="s">
        <v>76</v>
      </c>
      <c r="D24" t="s">
        <v>162</v>
      </c>
      <c r="E24" t="s">
        <v>163</v>
      </c>
      <c r="F24" t="s">
        <v>246</v>
      </c>
      <c r="G24" t="s">
        <v>247</v>
      </c>
      <c r="H24" t="s">
        <v>188</v>
      </c>
      <c r="I24" t="s">
        <v>271</v>
      </c>
      <c r="J24" t="s">
        <v>176</v>
      </c>
      <c r="K24" t="s">
        <v>266</v>
      </c>
      <c r="L24" t="s">
        <v>290</v>
      </c>
      <c r="M24" t="s">
        <v>291</v>
      </c>
      <c r="N24" t="s">
        <v>164</v>
      </c>
      <c r="P24">
        <f t="shared" ref="P24:P35" si="9">P23+4</f>
        <v>31</v>
      </c>
      <c r="Q24" t="s">
        <v>31</v>
      </c>
      <c r="R24">
        <f t="shared" si="0"/>
        <v>7</v>
      </c>
      <c r="S24" t="s">
        <v>295</v>
      </c>
      <c r="T24">
        <v>6</v>
      </c>
      <c r="U24" t="s">
        <v>296</v>
      </c>
      <c r="V24" s="3">
        <v>1</v>
      </c>
      <c r="W24" s="3">
        <v>0</v>
      </c>
      <c r="X24" t="s">
        <v>30</v>
      </c>
      <c r="Y24" t="s">
        <v>31</v>
      </c>
    </row>
    <row r="25" spans="1:27" x14ac:dyDescent="0.3">
      <c r="A25" t="s">
        <v>248</v>
      </c>
      <c r="B25" t="s">
        <v>161</v>
      </c>
      <c r="C25" t="s">
        <v>76</v>
      </c>
      <c r="D25" t="s">
        <v>162</v>
      </c>
      <c r="E25" t="s">
        <v>163</v>
      </c>
      <c r="F25" t="s">
        <v>249</v>
      </c>
      <c r="G25" t="s">
        <v>250</v>
      </c>
      <c r="H25" t="s">
        <v>192</v>
      </c>
      <c r="I25" t="s">
        <v>276</v>
      </c>
      <c r="J25" t="s">
        <v>37</v>
      </c>
      <c r="K25" t="s">
        <v>266</v>
      </c>
      <c r="L25" t="s">
        <v>292</v>
      </c>
      <c r="M25" t="s">
        <v>291</v>
      </c>
      <c r="N25" t="s">
        <v>164</v>
      </c>
      <c r="P25">
        <v>28</v>
      </c>
      <c r="Q25" t="s">
        <v>31</v>
      </c>
      <c r="R25">
        <f t="shared" si="0"/>
        <v>7</v>
      </c>
      <c r="S25" t="s">
        <v>295</v>
      </c>
      <c r="T25">
        <v>3</v>
      </c>
      <c r="U25" t="s">
        <v>296</v>
      </c>
      <c r="V25" s="3">
        <v>4</v>
      </c>
      <c r="W25" s="3">
        <v>1</v>
      </c>
      <c r="X25" t="s">
        <v>30</v>
      </c>
      <c r="Y25" t="s">
        <v>31</v>
      </c>
    </row>
    <row r="26" spans="1:27" x14ac:dyDescent="0.3">
      <c r="A26" t="s">
        <v>251</v>
      </c>
      <c r="B26" t="s">
        <v>161</v>
      </c>
      <c r="C26" t="s">
        <v>76</v>
      </c>
      <c r="D26" t="s">
        <v>165</v>
      </c>
      <c r="E26" t="s">
        <v>166</v>
      </c>
      <c r="F26" t="s">
        <v>246</v>
      </c>
      <c r="G26" t="s">
        <v>247</v>
      </c>
      <c r="H26" t="s">
        <v>194</v>
      </c>
      <c r="I26" t="s">
        <v>277</v>
      </c>
      <c r="J26" t="s">
        <v>176</v>
      </c>
      <c r="K26" t="s">
        <v>266</v>
      </c>
      <c r="L26" t="s">
        <v>290</v>
      </c>
      <c r="M26" t="s">
        <v>291</v>
      </c>
      <c r="N26" t="s">
        <v>164</v>
      </c>
      <c r="P26">
        <f t="shared" ref="P26:P35" si="10">P25+4</f>
        <v>32</v>
      </c>
      <c r="Q26" t="s">
        <v>31</v>
      </c>
      <c r="R26">
        <f t="shared" si="0"/>
        <v>11</v>
      </c>
      <c r="S26" t="s">
        <v>295</v>
      </c>
      <c r="T26">
        <v>7</v>
      </c>
      <c r="U26" t="s">
        <v>296</v>
      </c>
      <c r="V26" s="3">
        <v>4</v>
      </c>
      <c r="W26" s="3">
        <v>1</v>
      </c>
      <c r="X26" t="s">
        <v>30</v>
      </c>
      <c r="Y26" t="s">
        <v>31</v>
      </c>
    </row>
    <row r="27" spans="1:27" x14ac:dyDescent="0.3">
      <c r="A27" t="s">
        <v>252</v>
      </c>
      <c r="B27" t="s">
        <v>161</v>
      </c>
      <c r="C27" t="s">
        <v>76</v>
      </c>
      <c r="D27" t="s">
        <v>165</v>
      </c>
      <c r="E27" t="s">
        <v>166</v>
      </c>
      <c r="F27" t="s">
        <v>249</v>
      </c>
      <c r="G27" t="s">
        <v>250</v>
      </c>
      <c r="H27" t="s">
        <v>194</v>
      </c>
      <c r="I27" t="s">
        <v>276</v>
      </c>
      <c r="J27" t="s">
        <v>37</v>
      </c>
      <c r="K27" t="s">
        <v>266</v>
      </c>
      <c r="L27" t="s">
        <v>292</v>
      </c>
      <c r="M27" t="s">
        <v>291</v>
      </c>
      <c r="N27" t="s">
        <v>164</v>
      </c>
      <c r="P27">
        <v>29</v>
      </c>
      <c r="Q27" t="s">
        <v>31</v>
      </c>
      <c r="R27">
        <f t="shared" si="0"/>
        <v>6</v>
      </c>
      <c r="S27" t="s">
        <v>295</v>
      </c>
      <c r="T27">
        <v>5</v>
      </c>
      <c r="U27" t="s">
        <v>296</v>
      </c>
      <c r="V27" s="3">
        <v>1</v>
      </c>
      <c r="W27" s="3">
        <v>2</v>
      </c>
      <c r="X27" t="s">
        <v>30</v>
      </c>
      <c r="Y27" t="s">
        <v>31</v>
      </c>
    </row>
    <row r="28" spans="1:27" x14ac:dyDescent="0.3">
      <c r="A28" t="s">
        <v>253</v>
      </c>
      <c r="B28" t="s">
        <v>147</v>
      </c>
      <c r="C28" t="s">
        <v>72</v>
      </c>
      <c r="D28" t="s">
        <v>167</v>
      </c>
      <c r="E28" t="s">
        <v>168</v>
      </c>
      <c r="F28" t="s">
        <v>230</v>
      </c>
      <c r="G28" t="s">
        <v>231</v>
      </c>
      <c r="H28" t="s">
        <v>192</v>
      </c>
      <c r="I28" t="s">
        <v>277</v>
      </c>
      <c r="J28" t="s">
        <v>176</v>
      </c>
      <c r="K28" t="s">
        <v>266</v>
      </c>
      <c r="L28" t="s">
        <v>287</v>
      </c>
      <c r="M28" t="s">
        <v>150</v>
      </c>
      <c r="N28" t="s">
        <v>151</v>
      </c>
      <c r="P28">
        <f t="shared" ref="P28:P35" si="11">P27+4</f>
        <v>33</v>
      </c>
      <c r="Q28" t="s">
        <v>31</v>
      </c>
      <c r="R28">
        <f t="shared" si="0"/>
        <v>7</v>
      </c>
      <c r="S28" t="s">
        <v>295</v>
      </c>
      <c r="T28">
        <v>5</v>
      </c>
      <c r="U28" t="s">
        <v>296</v>
      </c>
      <c r="V28" s="3">
        <v>2</v>
      </c>
      <c r="W28" s="3">
        <v>1</v>
      </c>
      <c r="X28" t="s">
        <v>30</v>
      </c>
      <c r="Y28" t="s">
        <v>31</v>
      </c>
    </row>
    <row r="29" spans="1:27" x14ac:dyDescent="0.3">
      <c r="A29" t="s">
        <v>254</v>
      </c>
      <c r="B29" t="s">
        <v>147</v>
      </c>
      <c r="C29" t="s">
        <v>72</v>
      </c>
      <c r="D29" t="s">
        <v>167</v>
      </c>
      <c r="E29" t="s">
        <v>168</v>
      </c>
      <c r="F29" t="s">
        <v>233</v>
      </c>
      <c r="G29" t="s">
        <v>234</v>
      </c>
      <c r="H29" t="s">
        <v>194</v>
      </c>
      <c r="I29" t="s">
        <v>298</v>
      </c>
      <c r="J29" t="s">
        <v>28</v>
      </c>
      <c r="K29" t="s">
        <v>266</v>
      </c>
      <c r="L29" t="s">
        <v>288</v>
      </c>
      <c r="M29" t="s">
        <v>150</v>
      </c>
      <c r="N29" t="s">
        <v>151</v>
      </c>
      <c r="P29">
        <v>30</v>
      </c>
      <c r="Q29" t="s">
        <v>31</v>
      </c>
      <c r="R29">
        <f t="shared" si="0"/>
        <v>10</v>
      </c>
      <c r="S29" t="s">
        <v>295</v>
      </c>
      <c r="T29">
        <v>6</v>
      </c>
      <c r="U29" t="s">
        <v>296</v>
      </c>
      <c r="V29" s="3">
        <v>4</v>
      </c>
      <c r="W29" s="3">
        <v>1</v>
      </c>
      <c r="X29" t="s">
        <v>30</v>
      </c>
      <c r="Y29" t="s">
        <v>31</v>
      </c>
    </row>
    <row r="30" spans="1:27" x14ac:dyDescent="0.3">
      <c r="A30" t="s">
        <v>255</v>
      </c>
      <c r="B30" t="s">
        <v>147</v>
      </c>
      <c r="C30" t="s">
        <v>72</v>
      </c>
      <c r="D30" t="s">
        <v>169</v>
      </c>
      <c r="E30" t="s">
        <v>170</v>
      </c>
      <c r="F30" t="s">
        <v>230</v>
      </c>
      <c r="G30" t="s">
        <v>231</v>
      </c>
      <c r="H30" t="s">
        <v>186</v>
      </c>
      <c r="I30" t="s">
        <v>299</v>
      </c>
      <c r="J30" t="s">
        <v>300</v>
      </c>
      <c r="K30" t="s">
        <v>266</v>
      </c>
      <c r="L30" t="s">
        <v>287</v>
      </c>
      <c r="M30" t="s">
        <v>150</v>
      </c>
      <c r="N30" t="s">
        <v>151</v>
      </c>
      <c r="P30">
        <f t="shared" ref="P30:P35" si="12">P29+4</f>
        <v>34</v>
      </c>
      <c r="Q30" t="s">
        <v>31</v>
      </c>
      <c r="R30">
        <f t="shared" si="0"/>
        <v>11</v>
      </c>
      <c r="S30" t="s">
        <v>295</v>
      </c>
      <c r="T30">
        <v>7</v>
      </c>
      <c r="U30" t="s">
        <v>296</v>
      </c>
      <c r="V30" s="3">
        <v>4</v>
      </c>
      <c r="W30" s="3">
        <v>2</v>
      </c>
      <c r="X30" t="s">
        <v>30</v>
      </c>
      <c r="Y30" t="s">
        <v>31</v>
      </c>
    </row>
    <row r="31" spans="1:27" x14ac:dyDescent="0.3">
      <c r="A31" t="s">
        <v>256</v>
      </c>
      <c r="B31" t="s">
        <v>147</v>
      </c>
      <c r="C31" t="s">
        <v>72</v>
      </c>
      <c r="D31" t="s">
        <v>169</v>
      </c>
      <c r="E31" t="s">
        <v>170</v>
      </c>
      <c r="F31" t="s">
        <v>233</v>
      </c>
      <c r="G31" t="s">
        <v>234</v>
      </c>
      <c r="H31" t="s">
        <v>185</v>
      </c>
      <c r="I31" t="s">
        <v>301</v>
      </c>
      <c r="J31" t="s">
        <v>37</v>
      </c>
      <c r="K31" t="s">
        <v>266</v>
      </c>
      <c r="L31" t="s">
        <v>288</v>
      </c>
      <c r="M31" t="s">
        <v>150</v>
      </c>
      <c r="N31" t="s">
        <v>151</v>
      </c>
      <c r="P31">
        <v>31</v>
      </c>
      <c r="Q31" t="s">
        <v>31</v>
      </c>
      <c r="R31">
        <f t="shared" si="0"/>
        <v>11</v>
      </c>
      <c r="S31" t="s">
        <v>295</v>
      </c>
      <c r="T31">
        <v>7</v>
      </c>
      <c r="U31" t="s">
        <v>296</v>
      </c>
      <c r="V31" s="3">
        <v>4</v>
      </c>
      <c r="W31" s="3">
        <v>0</v>
      </c>
      <c r="X31" t="s">
        <v>30</v>
      </c>
      <c r="Y31" t="s">
        <v>31</v>
      </c>
    </row>
    <row r="32" spans="1:27" x14ac:dyDescent="0.3">
      <c r="A32" t="s">
        <v>257</v>
      </c>
      <c r="B32" t="s">
        <v>171</v>
      </c>
      <c r="C32" t="s">
        <v>80</v>
      </c>
      <c r="D32" t="s">
        <v>172</v>
      </c>
      <c r="E32" t="s">
        <v>173</v>
      </c>
      <c r="F32" t="s">
        <v>258</v>
      </c>
      <c r="G32" t="s">
        <v>259</v>
      </c>
      <c r="H32" t="s">
        <v>188</v>
      </c>
      <c r="I32" t="s">
        <v>302</v>
      </c>
      <c r="J32" t="s">
        <v>303</v>
      </c>
      <c r="K32" t="s">
        <v>266</v>
      </c>
      <c r="L32" t="s">
        <v>293</v>
      </c>
      <c r="M32" t="s">
        <v>294</v>
      </c>
      <c r="N32" t="s">
        <v>95</v>
      </c>
      <c r="P32">
        <f t="shared" ref="P32:P35" si="13">P31+4</f>
        <v>35</v>
      </c>
      <c r="Q32" t="s">
        <v>31</v>
      </c>
      <c r="R32">
        <f t="shared" si="0"/>
        <v>9</v>
      </c>
      <c r="S32" t="s">
        <v>295</v>
      </c>
      <c r="T32">
        <v>6</v>
      </c>
      <c r="U32" t="s">
        <v>296</v>
      </c>
      <c r="V32" s="3">
        <v>3</v>
      </c>
      <c r="W32" s="3">
        <v>1</v>
      </c>
      <c r="X32" t="s">
        <v>30</v>
      </c>
      <c r="Y32" t="s">
        <v>31</v>
      </c>
    </row>
    <row r="33" spans="1:25" x14ac:dyDescent="0.3">
      <c r="A33" t="s">
        <v>260</v>
      </c>
      <c r="B33" t="s">
        <v>171</v>
      </c>
      <c r="C33" t="s">
        <v>80</v>
      </c>
      <c r="D33" t="s">
        <v>172</v>
      </c>
      <c r="E33" t="s">
        <v>173</v>
      </c>
      <c r="F33" t="s">
        <v>261</v>
      </c>
      <c r="G33" t="s">
        <v>262</v>
      </c>
      <c r="H33" t="s">
        <v>192</v>
      </c>
      <c r="I33" t="s">
        <v>304</v>
      </c>
      <c r="J33" t="s">
        <v>45</v>
      </c>
      <c r="K33" t="s">
        <v>266</v>
      </c>
      <c r="L33" t="s">
        <v>283</v>
      </c>
      <c r="M33" t="s">
        <v>294</v>
      </c>
      <c r="N33" t="s">
        <v>95</v>
      </c>
      <c r="P33">
        <v>32</v>
      </c>
      <c r="Q33" t="s">
        <v>31</v>
      </c>
      <c r="R33">
        <f t="shared" si="0"/>
        <v>8</v>
      </c>
      <c r="S33" t="s">
        <v>295</v>
      </c>
      <c r="T33">
        <v>4</v>
      </c>
      <c r="U33" t="s">
        <v>296</v>
      </c>
      <c r="V33" s="3">
        <v>4</v>
      </c>
      <c r="W33" s="3">
        <v>2</v>
      </c>
      <c r="X33" t="s">
        <v>30</v>
      </c>
      <c r="Y33" t="s">
        <v>31</v>
      </c>
    </row>
    <row r="34" spans="1:25" x14ac:dyDescent="0.3">
      <c r="A34" t="s">
        <v>263</v>
      </c>
      <c r="B34" t="s">
        <v>171</v>
      </c>
      <c r="C34" t="s">
        <v>80</v>
      </c>
      <c r="D34" t="s">
        <v>174</v>
      </c>
      <c r="E34" t="s">
        <v>175</v>
      </c>
      <c r="F34" t="s">
        <v>258</v>
      </c>
      <c r="G34" t="s">
        <v>259</v>
      </c>
      <c r="H34" t="s">
        <v>194</v>
      </c>
      <c r="I34" t="s">
        <v>305</v>
      </c>
      <c r="J34" t="s">
        <v>51</v>
      </c>
      <c r="K34" t="s">
        <v>266</v>
      </c>
      <c r="L34" t="s">
        <v>293</v>
      </c>
      <c r="M34" t="s">
        <v>294</v>
      </c>
      <c r="N34" t="s">
        <v>95</v>
      </c>
      <c r="P34">
        <f t="shared" ref="P34:P35" si="14">P33+4</f>
        <v>36</v>
      </c>
      <c r="Q34" t="s">
        <v>31</v>
      </c>
      <c r="R34">
        <f t="shared" si="0"/>
        <v>7</v>
      </c>
      <c r="S34" t="s">
        <v>295</v>
      </c>
      <c r="T34">
        <v>5</v>
      </c>
      <c r="U34" t="s">
        <v>296</v>
      </c>
      <c r="V34" s="3">
        <v>2</v>
      </c>
      <c r="W34" s="3">
        <v>1</v>
      </c>
      <c r="X34" t="s">
        <v>30</v>
      </c>
      <c r="Y34" t="s">
        <v>31</v>
      </c>
    </row>
    <row r="35" spans="1:25" x14ac:dyDescent="0.3">
      <c r="A35" t="s">
        <v>264</v>
      </c>
      <c r="B35" t="s">
        <v>171</v>
      </c>
      <c r="C35" t="s">
        <v>80</v>
      </c>
      <c r="D35" t="s">
        <v>174</v>
      </c>
      <c r="E35" t="s">
        <v>175</v>
      </c>
      <c r="F35" t="s">
        <v>261</v>
      </c>
      <c r="G35" t="s">
        <v>262</v>
      </c>
      <c r="H35" t="s">
        <v>186</v>
      </c>
      <c r="I35" t="s">
        <v>306</v>
      </c>
      <c r="J35" t="s">
        <v>307</v>
      </c>
      <c r="K35" t="s">
        <v>266</v>
      </c>
      <c r="L35" t="s">
        <v>283</v>
      </c>
      <c r="M35" t="s">
        <v>294</v>
      </c>
      <c r="N35" t="s">
        <v>95</v>
      </c>
      <c r="P35">
        <v>33</v>
      </c>
      <c r="Q35" t="s">
        <v>31</v>
      </c>
      <c r="R35">
        <f t="shared" si="0"/>
        <v>6</v>
      </c>
      <c r="S35" t="s">
        <v>295</v>
      </c>
      <c r="T35">
        <v>3</v>
      </c>
      <c r="U35" t="s">
        <v>296</v>
      </c>
      <c r="V35" s="3">
        <v>3</v>
      </c>
      <c r="W35" s="3">
        <v>0</v>
      </c>
      <c r="X35" t="s">
        <v>30</v>
      </c>
      <c r="Y35" t="s">
        <v>31</v>
      </c>
    </row>
  </sheetData>
  <phoneticPr fontId="2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Lists!$A$2:$A$11</xm:f>
          </x14:formula1>
          <xm:sqref>H2:H954</xm:sqref>
        </x14:dataValidation>
        <x14:dataValidation type="list" allowBlank="1" xr:uid="{00000000-0002-0000-0000-000002000000}">
          <x14:formula1>
            <xm:f>Lists!$B$2:$B$3</xm:f>
          </x14:formula1>
          <xm:sqref>X2:Y954 Q2:Q954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182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183</v>
      </c>
      <c r="D2" t="s">
        <v>27</v>
      </c>
      <c r="E2" t="s">
        <v>27</v>
      </c>
    </row>
    <row r="3" spans="1:5" x14ac:dyDescent="0.3">
      <c r="A3" t="s">
        <v>33</v>
      </c>
      <c r="B3" t="s">
        <v>34</v>
      </c>
      <c r="C3" t="s">
        <v>183</v>
      </c>
      <c r="D3" t="s">
        <v>27</v>
      </c>
      <c r="E3" t="s">
        <v>27</v>
      </c>
    </row>
    <row r="4" spans="1:5" x14ac:dyDescent="0.3">
      <c r="A4" t="s">
        <v>35</v>
      </c>
      <c r="B4" t="s">
        <v>36</v>
      </c>
      <c r="C4" t="s">
        <v>183</v>
      </c>
      <c r="D4" t="s">
        <v>27</v>
      </c>
      <c r="E4" t="s">
        <v>27</v>
      </c>
    </row>
    <row r="5" spans="1:5" x14ac:dyDescent="0.3">
      <c r="A5" t="s">
        <v>37</v>
      </c>
      <c r="B5" t="s">
        <v>38</v>
      </c>
      <c r="C5" t="s">
        <v>183</v>
      </c>
      <c r="D5" t="s">
        <v>27</v>
      </c>
      <c r="E5" t="s">
        <v>27</v>
      </c>
    </row>
    <row r="6" spans="1:5" x14ac:dyDescent="0.3">
      <c r="A6" t="s">
        <v>39</v>
      </c>
      <c r="B6" t="s">
        <v>40</v>
      </c>
      <c r="C6" t="s">
        <v>183</v>
      </c>
      <c r="D6" t="s">
        <v>27</v>
      </c>
      <c r="E6" t="s">
        <v>27</v>
      </c>
    </row>
    <row r="7" spans="1:5" x14ac:dyDescent="0.3">
      <c r="A7" t="s">
        <v>41</v>
      </c>
      <c r="B7" t="s">
        <v>42</v>
      </c>
      <c r="C7" t="s">
        <v>183</v>
      </c>
      <c r="D7" t="s">
        <v>27</v>
      </c>
      <c r="E7" t="s">
        <v>27</v>
      </c>
    </row>
    <row r="8" spans="1:5" x14ac:dyDescent="0.3">
      <c r="A8" t="s">
        <v>43</v>
      </c>
      <c r="B8" t="s">
        <v>44</v>
      </c>
      <c r="C8" t="s">
        <v>183</v>
      </c>
      <c r="D8" t="s">
        <v>27</v>
      </c>
      <c r="E8" t="s">
        <v>27</v>
      </c>
    </row>
    <row r="9" spans="1:5" x14ac:dyDescent="0.3">
      <c r="A9" t="s">
        <v>45</v>
      </c>
      <c r="B9" t="s">
        <v>46</v>
      </c>
      <c r="C9" t="s">
        <v>183</v>
      </c>
      <c r="D9" t="s">
        <v>27</v>
      </c>
      <c r="E9" t="s">
        <v>27</v>
      </c>
    </row>
    <row r="10" spans="1:5" x14ac:dyDescent="0.3">
      <c r="A10" t="s">
        <v>47</v>
      </c>
      <c r="B10" t="s">
        <v>48</v>
      </c>
      <c r="C10" t="s">
        <v>183</v>
      </c>
      <c r="D10" t="s">
        <v>27</v>
      </c>
      <c r="E10" t="s">
        <v>27</v>
      </c>
    </row>
    <row r="11" spans="1:5" x14ac:dyDescent="0.3">
      <c r="A11" t="s">
        <v>49</v>
      </c>
      <c r="B11" t="s">
        <v>50</v>
      </c>
      <c r="C11" t="s">
        <v>183</v>
      </c>
      <c r="D11" t="s">
        <v>27</v>
      </c>
      <c r="E11" t="s">
        <v>27</v>
      </c>
    </row>
    <row r="12" spans="1:5" x14ac:dyDescent="0.3">
      <c r="A12" t="s">
        <v>51</v>
      </c>
      <c r="B12" t="s">
        <v>52</v>
      </c>
      <c r="C12" t="s">
        <v>183</v>
      </c>
      <c r="D12" t="s">
        <v>27</v>
      </c>
      <c r="E12" t="s">
        <v>27</v>
      </c>
    </row>
    <row r="13" spans="1:5" x14ac:dyDescent="0.3">
      <c r="A13" t="s">
        <v>53</v>
      </c>
      <c r="B13" t="s">
        <v>54</v>
      </c>
      <c r="C13" t="s">
        <v>183</v>
      </c>
      <c r="D13" t="s">
        <v>27</v>
      </c>
      <c r="E13" t="s">
        <v>27</v>
      </c>
    </row>
    <row r="14" spans="1:5" x14ac:dyDescent="0.3">
      <c r="A14" t="s">
        <v>55</v>
      </c>
      <c r="B14" t="s">
        <v>56</v>
      </c>
      <c r="C14" t="s">
        <v>183</v>
      </c>
      <c r="D14" t="s">
        <v>27</v>
      </c>
      <c r="E14" t="s">
        <v>27</v>
      </c>
    </row>
    <row r="15" spans="1:5" x14ac:dyDescent="0.3">
      <c r="A15" t="s">
        <v>57</v>
      </c>
      <c r="B15" t="s">
        <v>58</v>
      </c>
      <c r="C15" t="s">
        <v>183</v>
      </c>
      <c r="D15" t="s">
        <v>27</v>
      </c>
      <c r="E15" t="s">
        <v>27</v>
      </c>
    </row>
    <row r="16" spans="1:5" x14ac:dyDescent="0.3">
      <c r="A16" t="s">
        <v>59</v>
      </c>
      <c r="B16" t="s">
        <v>60</v>
      </c>
      <c r="C16" t="s">
        <v>183</v>
      </c>
      <c r="D16" t="s">
        <v>27</v>
      </c>
      <c r="E16" t="s">
        <v>27</v>
      </c>
    </row>
    <row r="17" spans="1:5" x14ac:dyDescent="0.3">
      <c r="A17" t="s">
        <v>61</v>
      </c>
      <c r="B17" t="s">
        <v>62</v>
      </c>
      <c r="C17" t="s">
        <v>183</v>
      </c>
      <c r="D17" t="s">
        <v>27</v>
      </c>
      <c r="E17" t="s">
        <v>27</v>
      </c>
    </row>
    <row r="18" spans="1:5" x14ac:dyDescent="0.3">
      <c r="A18" t="s">
        <v>63</v>
      </c>
      <c r="B18" t="s">
        <v>64</v>
      </c>
      <c r="C18" t="s">
        <v>183</v>
      </c>
      <c r="D18" t="s">
        <v>27</v>
      </c>
      <c r="E18" t="s">
        <v>27</v>
      </c>
    </row>
    <row r="19" spans="1:5" x14ac:dyDescent="0.3">
      <c r="A19" t="s">
        <v>65</v>
      </c>
      <c r="B19" t="s">
        <v>66</v>
      </c>
      <c r="C19" t="s">
        <v>183</v>
      </c>
      <c r="D19" t="s">
        <v>27</v>
      </c>
      <c r="E19" t="s">
        <v>27</v>
      </c>
    </row>
    <row r="20" spans="1:5" x14ac:dyDescent="0.3">
      <c r="A20" t="s">
        <v>67</v>
      </c>
      <c r="B20" t="s">
        <v>68</v>
      </c>
      <c r="C20" t="s">
        <v>183</v>
      </c>
      <c r="D20" t="s">
        <v>27</v>
      </c>
      <c r="E20" t="s">
        <v>27</v>
      </c>
    </row>
    <row r="21" spans="1:5" x14ac:dyDescent="0.3">
      <c r="A21" t="s">
        <v>69</v>
      </c>
      <c r="B21" t="s">
        <v>70</v>
      </c>
      <c r="C21" t="s">
        <v>183</v>
      </c>
      <c r="D21" t="s">
        <v>27</v>
      </c>
      <c r="E21" t="s">
        <v>27</v>
      </c>
    </row>
    <row r="22" spans="1:5" x14ac:dyDescent="0.3">
      <c r="A22" t="s">
        <v>71</v>
      </c>
      <c r="B22" t="s">
        <v>72</v>
      </c>
      <c r="C22" t="s">
        <v>183</v>
      </c>
      <c r="D22" t="s">
        <v>27</v>
      </c>
      <c r="E22" t="s">
        <v>27</v>
      </c>
    </row>
    <row r="23" spans="1:5" x14ac:dyDescent="0.3">
      <c r="A23" t="s">
        <v>73</v>
      </c>
      <c r="B23" t="s">
        <v>74</v>
      </c>
      <c r="C23" t="s">
        <v>183</v>
      </c>
      <c r="D23" t="s">
        <v>27</v>
      </c>
      <c r="E23" t="s">
        <v>27</v>
      </c>
    </row>
    <row r="24" spans="1:5" x14ac:dyDescent="0.3">
      <c r="A24" t="s">
        <v>75</v>
      </c>
      <c r="B24" t="s">
        <v>76</v>
      </c>
      <c r="C24" t="s">
        <v>183</v>
      </c>
      <c r="D24" t="s">
        <v>27</v>
      </c>
      <c r="E24" t="s">
        <v>27</v>
      </c>
    </row>
    <row r="25" spans="1:5" x14ac:dyDescent="0.3">
      <c r="A25" t="s">
        <v>77</v>
      </c>
      <c r="B25" t="s">
        <v>78</v>
      </c>
      <c r="C25" t="s">
        <v>183</v>
      </c>
      <c r="D25" t="s">
        <v>27</v>
      </c>
      <c r="E25" t="s">
        <v>27</v>
      </c>
    </row>
    <row r="26" spans="1:5" x14ac:dyDescent="0.3">
      <c r="A26" t="s">
        <v>79</v>
      </c>
      <c r="B26" t="s">
        <v>80</v>
      </c>
      <c r="C26" t="s">
        <v>183</v>
      </c>
      <c r="D26" t="s">
        <v>27</v>
      </c>
      <c r="E26" t="s">
        <v>27</v>
      </c>
    </row>
    <row r="27" spans="1:5" x14ac:dyDescent="0.3">
      <c r="A27" t="s">
        <v>83</v>
      </c>
      <c r="B27" t="s">
        <v>82</v>
      </c>
      <c r="C27" t="s">
        <v>183</v>
      </c>
      <c r="D27" t="s">
        <v>81</v>
      </c>
      <c r="E27" t="s">
        <v>82</v>
      </c>
    </row>
    <row r="28" spans="1:5" x14ac:dyDescent="0.3">
      <c r="A28" t="s">
        <v>88</v>
      </c>
      <c r="B28" t="s">
        <v>87</v>
      </c>
      <c r="C28" t="s">
        <v>183</v>
      </c>
      <c r="D28" t="s">
        <v>86</v>
      </c>
      <c r="E28" t="s">
        <v>87</v>
      </c>
    </row>
    <row r="29" spans="1:5" x14ac:dyDescent="0.3">
      <c r="A29" t="s">
        <v>93</v>
      </c>
      <c r="B29" t="s">
        <v>92</v>
      </c>
      <c r="C29" t="s">
        <v>183</v>
      </c>
      <c r="D29" t="s">
        <v>91</v>
      </c>
      <c r="E29" t="s">
        <v>92</v>
      </c>
    </row>
    <row r="30" spans="1:5" x14ac:dyDescent="0.3">
      <c r="A30" t="s">
        <v>97</v>
      </c>
      <c r="B30" t="s">
        <v>98</v>
      </c>
      <c r="C30" t="s">
        <v>183</v>
      </c>
      <c r="D30" t="s">
        <v>96</v>
      </c>
      <c r="E30" t="s">
        <v>62</v>
      </c>
    </row>
    <row r="31" spans="1:5" x14ac:dyDescent="0.3">
      <c r="A31" t="s">
        <v>101</v>
      </c>
      <c r="B31" t="s">
        <v>102</v>
      </c>
      <c r="C31" t="s">
        <v>183</v>
      </c>
      <c r="D31" t="s">
        <v>96</v>
      </c>
      <c r="E31" t="s">
        <v>62</v>
      </c>
    </row>
    <row r="32" spans="1:5" x14ac:dyDescent="0.3">
      <c r="A32" t="s">
        <v>104</v>
      </c>
      <c r="B32" t="s">
        <v>105</v>
      </c>
      <c r="C32" t="s">
        <v>183</v>
      </c>
      <c r="D32" t="s">
        <v>103</v>
      </c>
      <c r="E32" t="s">
        <v>64</v>
      </c>
    </row>
    <row r="33" spans="1:5" x14ac:dyDescent="0.3">
      <c r="A33" t="s">
        <v>106</v>
      </c>
      <c r="B33" t="s">
        <v>107</v>
      </c>
      <c r="C33" t="s">
        <v>183</v>
      </c>
      <c r="D33" t="s">
        <v>103</v>
      </c>
      <c r="E33" t="s">
        <v>64</v>
      </c>
    </row>
    <row r="34" spans="1:5" x14ac:dyDescent="0.3">
      <c r="A34" t="s">
        <v>109</v>
      </c>
      <c r="B34" t="s">
        <v>110</v>
      </c>
      <c r="C34" t="s">
        <v>183</v>
      </c>
      <c r="D34" t="s">
        <v>108</v>
      </c>
      <c r="E34" t="s">
        <v>66</v>
      </c>
    </row>
    <row r="35" spans="1:5" x14ac:dyDescent="0.3">
      <c r="A35" t="s">
        <v>111</v>
      </c>
      <c r="B35" t="s">
        <v>112</v>
      </c>
      <c r="C35" t="s">
        <v>183</v>
      </c>
      <c r="D35" t="s">
        <v>108</v>
      </c>
      <c r="E35" t="s">
        <v>66</v>
      </c>
    </row>
    <row r="36" spans="1:5" x14ac:dyDescent="0.3">
      <c r="A36" t="s">
        <v>113</v>
      </c>
      <c r="B36" t="s">
        <v>114</v>
      </c>
      <c r="C36" t="s">
        <v>183</v>
      </c>
      <c r="D36" t="s">
        <v>108</v>
      </c>
      <c r="E36" t="s">
        <v>66</v>
      </c>
    </row>
    <row r="37" spans="1:5" x14ac:dyDescent="0.3">
      <c r="A37" t="s">
        <v>115</v>
      </c>
      <c r="B37" t="s">
        <v>116</v>
      </c>
      <c r="C37" t="s">
        <v>183</v>
      </c>
      <c r="D37" t="s">
        <v>108</v>
      </c>
      <c r="E37" t="s">
        <v>66</v>
      </c>
    </row>
    <row r="38" spans="1:5" x14ac:dyDescent="0.3">
      <c r="A38" t="s">
        <v>117</v>
      </c>
      <c r="B38" t="s">
        <v>118</v>
      </c>
      <c r="C38" t="s">
        <v>183</v>
      </c>
      <c r="D38" t="s">
        <v>108</v>
      </c>
      <c r="E38" t="s">
        <v>66</v>
      </c>
    </row>
    <row r="39" spans="1:5" x14ac:dyDescent="0.3">
      <c r="A39" t="s">
        <v>119</v>
      </c>
      <c r="B39" t="s">
        <v>120</v>
      </c>
      <c r="C39" t="s">
        <v>183</v>
      </c>
      <c r="D39" t="s">
        <v>108</v>
      </c>
      <c r="E39" t="s">
        <v>66</v>
      </c>
    </row>
    <row r="40" spans="1:5" x14ac:dyDescent="0.3">
      <c r="A40" t="s">
        <v>122</v>
      </c>
      <c r="B40" t="s">
        <v>123</v>
      </c>
      <c r="C40" t="s">
        <v>183</v>
      </c>
      <c r="D40" t="s">
        <v>121</v>
      </c>
      <c r="E40" t="s">
        <v>68</v>
      </c>
    </row>
    <row r="41" spans="1:5" x14ac:dyDescent="0.3">
      <c r="A41" t="s">
        <v>124</v>
      </c>
      <c r="B41" t="s">
        <v>125</v>
      </c>
      <c r="C41" t="s">
        <v>183</v>
      </c>
      <c r="D41" t="s">
        <v>121</v>
      </c>
      <c r="E41" t="s">
        <v>68</v>
      </c>
    </row>
    <row r="42" spans="1:5" x14ac:dyDescent="0.3">
      <c r="A42" t="s">
        <v>126</v>
      </c>
      <c r="B42" t="s">
        <v>127</v>
      </c>
      <c r="C42" t="s">
        <v>183</v>
      </c>
      <c r="D42" t="s">
        <v>121</v>
      </c>
      <c r="E42" t="s">
        <v>68</v>
      </c>
    </row>
    <row r="43" spans="1:5" x14ac:dyDescent="0.3">
      <c r="A43" t="s">
        <v>128</v>
      </c>
      <c r="B43" t="s">
        <v>129</v>
      </c>
      <c r="C43" t="s">
        <v>183</v>
      </c>
      <c r="D43" t="s">
        <v>121</v>
      </c>
      <c r="E43" t="s">
        <v>68</v>
      </c>
    </row>
    <row r="44" spans="1:5" x14ac:dyDescent="0.3">
      <c r="A44" t="s">
        <v>130</v>
      </c>
      <c r="B44" t="s">
        <v>131</v>
      </c>
      <c r="C44" t="s">
        <v>183</v>
      </c>
      <c r="D44" t="s">
        <v>121</v>
      </c>
      <c r="E44" t="s">
        <v>68</v>
      </c>
    </row>
    <row r="45" spans="1:5" x14ac:dyDescent="0.3">
      <c r="A45" t="s">
        <v>132</v>
      </c>
      <c r="B45" t="s">
        <v>133</v>
      </c>
      <c r="C45" t="s">
        <v>183</v>
      </c>
      <c r="D45" t="s">
        <v>121</v>
      </c>
      <c r="E45" t="s">
        <v>68</v>
      </c>
    </row>
    <row r="46" spans="1:5" x14ac:dyDescent="0.3">
      <c r="A46" t="s">
        <v>135</v>
      </c>
      <c r="B46" t="s">
        <v>136</v>
      </c>
      <c r="C46" t="s">
        <v>183</v>
      </c>
      <c r="D46" t="s">
        <v>134</v>
      </c>
      <c r="E46" t="s">
        <v>70</v>
      </c>
    </row>
    <row r="47" spans="1:5" x14ac:dyDescent="0.3">
      <c r="A47" t="s">
        <v>137</v>
      </c>
      <c r="B47" t="s">
        <v>138</v>
      </c>
      <c r="C47" t="s">
        <v>183</v>
      </c>
      <c r="D47" t="s">
        <v>134</v>
      </c>
      <c r="E47" t="s">
        <v>70</v>
      </c>
    </row>
    <row r="48" spans="1:5" x14ac:dyDescent="0.3">
      <c r="A48" t="s">
        <v>139</v>
      </c>
      <c r="B48" t="s">
        <v>140</v>
      </c>
      <c r="C48" t="s">
        <v>183</v>
      </c>
      <c r="D48" t="s">
        <v>134</v>
      </c>
      <c r="E48" t="s">
        <v>70</v>
      </c>
    </row>
    <row r="49" spans="1:5" x14ac:dyDescent="0.3">
      <c r="A49" t="s">
        <v>141</v>
      </c>
      <c r="B49" t="s">
        <v>142</v>
      </c>
      <c r="C49" t="s">
        <v>183</v>
      </c>
      <c r="D49" t="s">
        <v>134</v>
      </c>
      <c r="E49" t="s">
        <v>70</v>
      </c>
    </row>
    <row r="50" spans="1:5" x14ac:dyDescent="0.3">
      <c r="A50" t="s">
        <v>143</v>
      </c>
      <c r="B50" t="s">
        <v>144</v>
      </c>
      <c r="C50" t="s">
        <v>183</v>
      </c>
      <c r="D50" t="s">
        <v>134</v>
      </c>
      <c r="E50" t="s">
        <v>70</v>
      </c>
    </row>
    <row r="51" spans="1:5" x14ac:dyDescent="0.3">
      <c r="A51" t="s">
        <v>145</v>
      </c>
      <c r="B51" t="s">
        <v>146</v>
      </c>
      <c r="C51" t="s">
        <v>183</v>
      </c>
      <c r="D51" t="s">
        <v>134</v>
      </c>
      <c r="E51" t="s">
        <v>70</v>
      </c>
    </row>
    <row r="52" spans="1:5" x14ac:dyDescent="0.3">
      <c r="A52" t="s">
        <v>148</v>
      </c>
      <c r="B52" t="s">
        <v>149</v>
      </c>
      <c r="C52" t="s">
        <v>183</v>
      </c>
      <c r="D52" t="s">
        <v>147</v>
      </c>
      <c r="E52" t="s">
        <v>72</v>
      </c>
    </row>
    <row r="53" spans="1:5" x14ac:dyDescent="0.3">
      <c r="A53" t="s">
        <v>152</v>
      </c>
      <c r="B53" t="s">
        <v>153</v>
      </c>
      <c r="C53" t="s">
        <v>183</v>
      </c>
      <c r="D53" t="s">
        <v>147</v>
      </c>
      <c r="E53" t="s">
        <v>72</v>
      </c>
    </row>
    <row r="54" spans="1:5" x14ac:dyDescent="0.3">
      <c r="A54" t="s">
        <v>155</v>
      </c>
      <c r="B54" t="s">
        <v>156</v>
      </c>
      <c r="C54" t="s">
        <v>183</v>
      </c>
      <c r="D54" t="s">
        <v>154</v>
      </c>
      <c r="E54" t="s">
        <v>74</v>
      </c>
    </row>
    <row r="55" spans="1:5" x14ac:dyDescent="0.3">
      <c r="A55" t="s">
        <v>159</v>
      </c>
      <c r="B55" t="s">
        <v>160</v>
      </c>
      <c r="C55" t="s">
        <v>183</v>
      </c>
      <c r="D55" t="s">
        <v>154</v>
      </c>
      <c r="E55" t="s">
        <v>74</v>
      </c>
    </row>
    <row r="56" spans="1:5" x14ac:dyDescent="0.3">
      <c r="A56" t="s">
        <v>162</v>
      </c>
      <c r="B56" t="s">
        <v>163</v>
      </c>
      <c r="C56" t="s">
        <v>183</v>
      </c>
      <c r="D56" t="s">
        <v>161</v>
      </c>
      <c r="E56" t="s">
        <v>76</v>
      </c>
    </row>
    <row r="57" spans="1:5" x14ac:dyDescent="0.3">
      <c r="A57" t="s">
        <v>165</v>
      </c>
      <c r="B57" t="s">
        <v>166</v>
      </c>
      <c r="C57" t="s">
        <v>183</v>
      </c>
      <c r="D57" t="s">
        <v>161</v>
      </c>
      <c r="E57" t="s">
        <v>76</v>
      </c>
    </row>
    <row r="58" spans="1:5" x14ac:dyDescent="0.3">
      <c r="A58" t="s">
        <v>167</v>
      </c>
      <c r="B58" t="s">
        <v>168</v>
      </c>
      <c r="C58" t="s">
        <v>183</v>
      </c>
      <c r="D58" t="s">
        <v>147</v>
      </c>
      <c r="E58" t="s">
        <v>72</v>
      </c>
    </row>
    <row r="59" spans="1:5" x14ac:dyDescent="0.3">
      <c r="A59" t="s">
        <v>169</v>
      </c>
      <c r="B59" t="s">
        <v>170</v>
      </c>
      <c r="C59" t="s">
        <v>183</v>
      </c>
      <c r="D59" t="s">
        <v>147</v>
      </c>
      <c r="E59" t="s">
        <v>72</v>
      </c>
    </row>
    <row r="60" spans="1:5" x14ac:dyDescent="0.3">
      <c r="A60" t="s">
        <v>172</v>
      </c>
      <c r="B60" t="s">
        <v>173</v>
      </c>
      <c r="C60" t="s">
        <v>183</v>
      </c>
      <c r="D60" t="s">
        <v>171</v>
      </c>
      <c r="E60" t="s">
        <v>80</v>
      </c>
    </row>
    <row r="61" spans="1:5" x14ac:dyDescent="0.3">
      <c r="A61" t="s">
        <v>174</v>
      </c>
      <c r="B61" t="s">
        <v>175</v>
      </c>
      <c r="C61" t="s">
        <v>183</v>
      </c>
      <c r="D61" t="s">
        <v>171</v>
      </c>
      <c r="E61" t="s">
        <v>80</v>
      </c>
    </row>
    <row r="62" spans="1:5" x14ac:dyDescent="0.3">
      <c r="A62" t="s">
        <v>176</v>
      </c>
      <c r="B62" t="s">
        <v>177</v>
      </c>
      <c r="C62" t="s">
        <v>27</v>
      </c>
      <c r="D62" t="s">
        <v>27</v>
      </c>
      <c r="E62" t="s">
        <v>27</v>
      </c>
    </row>
    <row r="63" spans="1:5" x14ac:dyDescent="0.3">
      <c r="A63" t="s">
        <v>178</v>
      </c>
      <c r="B63" t="s">
        <v>179</v>
      </c>
      <c r="C63" t="s">
        <v>27</v>
      </c>
      <c r="D63" t="s">
        <v>27</v>
      </c>
      <c r="E63" t="s">
        <v>27</v>
      </c>
    </row>
    <row r="64" spans="1:5" x14ac:dyDescent="0.3">
      <c r="A64" t="s">
        <v>180</v>
      </c>
      <c r="B64" t="s">
        <v>181</v>
      </c>
      <c r="C64" t="s">
        <v>27</v>
      </c>
      <c r="D64" t="s">
        <v>27</v>
      </c>
      <c r="E64" t="s">
        <v>27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2025-12-02T06:16:22Z</dcterms:created>
  <dcterms:modified xsi:type="dcterms:W3CDTF">2025-12-02T06:32:30Z</dcterms:modified>
  <cp:category/>
</cp:coreProperties>
</file>