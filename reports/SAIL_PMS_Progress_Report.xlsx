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Update Tracker" sheetId="2" r:id="rId2"/>
  </sheets>
  <definedNames>
    <definedName name="_xlnm.Print_Area" localSheetId="0">Dashboard!$A$1:$R$40</definedName>
    <definedName name="_xlnm.Print_Area" localSheetId="1">'Update Tracker'!$A$1:$L$60</definedName>
    <definedName name="_xlnm.Print_Titles" localSheetId="1">'Update Tracker'!$1:$4</definedName>
  </definedNames>
  <calcPr calcId="124519" fullCalcOnLoad="1"/>
</workbook>
</file>

<file path=xl/sharedStrings.xml><?xml version="1.0" encoding="utf-8"?>
<sst xmlns="http://schemas.openxmlformats.org/spreadsheetml/2006/main" count="160" uniqueCount="114">
  <si>
    <t>SAIL PMS  |  UPDATE TRACKER</t>
  </si>
  <si>
    <t>Yellow = editable input   •   Pale blue = calculated   •   Blank = not confirmed; enter 0 only when confirmed. All quantities are whole, nonnegative counts.</t>
  </si>
  <si>
    <t>01  /  SAIL TEAM — DATA RECEIVED &amp; LOADED</t>
  </si>
  <si>
    <t>Data category</t>
  </si>
  <si>
    <t>Total expected</t>
  </si>
  <si>
    <t>Received</t>
  </si>
  <si>
    <t>Loaded in SAIL</t>
  </si>
  <si>
    <t>Not received</t>
  </si>
  <si>
    <t>Received %</t>
  </si>
  <si>
    <t>Loaded %</t>
  </si>
  <si>
    <t>Status</t>
  </si>
  <si>
    <t>Owner</t>
  </si>
  <si>
    <t>Last updated</t>
  </si>
  <si>
    <t>Target date</t>
  </si>
  <si>
    <t>Remarks / evidence</t>
  </si>
  <si>
    <t>Components</t>
  </si>
  <si>
    <t>Jobs</t>
  </si>
  <si>
    <t>Spares</t>
  </si>
  <si>
    <t>Stores</t>
  </si>
  <si>
    <t>Maker list</t>
  </si>
  <si>
    <t>Dashboard data % = Components 30% + Jobs 30% + Spares 30% + Stores 10%; Maker list is excluded. All four expected counts must be confirmed and greater than zero; missing or zero denominators keep the weighted KPI blank.</t>
  </si>
  <si>
    <t>02  /  SAIL TEAM — COMPONENTS MISSING JOBS OR SPARES</t>
  </si>
  <si>
    <t>Gap</t>
  </si>
  <si>
    <t>No. of components</t>
  </si>
  <si>
    <t>Affected component IDs / names</t>
  </si>
  <si>
    <t>Next action / remarks</t>
  </si>
  <si>
    <t>Missing jobs</t>
  </si>
  <si>
    <t>Missing spares</t>
  </si>
  <si>
    <t>List affected components by ID or name. A component missing both jobs and spares may appear in both rows; these counts must not be added together.</t>
  </si>
  <si>
    <t>03  /  SAIL TEAM — CRITICAL COMPONENTS, SPARES &amp; JOBS RECEIPT</t>
  </si>
  <si>
    <t>Critical category</t>
  </si>
  <si>
    <t>Critical Components</t>
  </si>
  <si>
    <t>Critical Spares</t>
  </si>
  <si>
    <t>Critical Jobs</t>
  </si>
  <si>
    <t>Critical receipt is tracked separately from overall data receipt. Blank = unconfirmed; enter 0 only when confirmed. No RH marking or approval metrics are included in this action sheet.</t>
  </si>
  <si>
    <t>04  /  CLIENT-SIDE ACTIVITIES — INPUTS, REVIEWS &amp; DECISIONS TO CONFIRM</t>
  </si>
  <si>
    <t>Activity / requirement</t>
  </si>
  <si>
    <t>Total required</t>
  </si>
  <si>
    <t>Done / supplied</t>
  </si>
  <si>
    <t>Remaining</t>
  </si>
  <si>
    <t>Priority</t>
  </si>
  <si>
    <t>Completed date</t>
  </si>
  <si>
    <t>Equipment register / source data</t>
  </si>
  <si>
    <t>Maker manuals collection</t>
  </si>
  <si>
    <t>Supporting documentation</t>
  </si>
  <si>
    <t>Task procedures / instructions</t>
  </si>
  <si>
    <t>PMS interval verification</t>
  </si>
  <si>
    <t>Spare parts source data</t>
  </si>
  <si>
    <t>Component-job-spare mapping inputs</t>
  </si>
  <si>
    <t>Criticality / risk review</t>
  </si>
  <si>
    <t>Class / statutory task review</t>
  </si>
  <si>
    <t>SMS / final verification</t>
  </si>
  <si>
    <t>Data quality / missing-field clarifications</t>
  </si>
  <si>
    <t>PMS changes: client decisions</t>
  </si>
  <si>
    <t>Client activities are a checklist, not assumed open or assigned. Leave unconfirmed owners, quantities, dates and statuses blank.</t>
  </si>
  <si>
    <t>05  /  SAIL TEAM — WORK ORDERS GENERATED TILL NOW</t>
  </si>
  <si>
    <t>Measure</t>
  </si>
  <si>
    <t>No. of WOs</t>
  </si>
  <si>
    <t>Generated till now</t>
  </si>
  <si>
    <t>Due</t>
  </si>
  <si>
    <t>Overdue</t>
  </si>
  <si>
    <t>Active</t>
  </si>
  <si>
    <t>Pending approval</t>
  </si>
  <si>
    <t>Completed</t>
  </si>
  <si>
    <t>Enter independent WO counts as of the reporting date. Statuses may overlap; do not sum them. One job can generate multiple WOs across cycles, so no jobs-based WO percentage is shown.</t>
  </si>
  <si>
    <t>06  /  SAIL TEAM — RH MACHINERY / VESSEL UPDATES</t>
  </si>
  <si>
    <t>Machinery scope</t>
  </si>
  <si>
    <t>RH machinery created</t>
  </si>
  <si>
    <t>Vessel RH details updated</t>
  </si>
  <si>
    <t>Not updated</t>
  </si>
  <si>
    <t>Updated %</t>
  </si>
  <si>
    <t>RH Machinery</t>
  </si>
  <si>
    <t>Created = RH machinery records in scope. Vessel updated = records for which the vessel has entered RH details. Not updated and Updated % calculate only when counts are confirmed.</t>
  </si>
  <si>
    <t>UPDATE GUIDE  /  YELLOW = EDITABLE   •   PALE BLUE = CALCULATED   •   BLANK = UNKNOWN   •   0 = CONFIRMED NONE</t>
  </si>
  <si>
    <t>Set reporting details and short commentary on Dashboard. Confirm numbers with source owners before sharing; this workbook is not connected to live SAIL PMS data.</t>
  </si>
  <si>
    <t>SAIL PMS  |  PROJECT PROGRESS</t>
  </si>
  <si>
    <t>Stakeholder view   /   Data percentages are weighted: Components 30%, Jobs 30%, Spares 30%, Stores 10% (Maker list excluded). Enter confirmed counts and client actions on Update Tracker.</t>
  </si>
  <si>
    <t>Reporting period</t>
  </si>
  <si>
    <t>Responsible person</t>
  </si>
  <si>
    <t>Reporting to / audience</t>
  </si>
  <si>
    <t>SAIL TEAM  /  DELIVERY</t>
  </si>
  <si>
    <t>CLIENT SIDE  /  ACTIONS TO CONFIRM</t>
  </si>
  <si>
    <t>Data received (weighted)</t>
  </si>
  <si>
    <t>30 / 30 / 30 / 10 weight</t>
  </si>
  <si>
    <t>Data loaded (weighted)</t>
  </si>
  <si>
    <t>Components affected</t>
  </si>
  <si>
    <t>Critical items received</t>
  </si>
  <si>
    <t>Received / expected</t>
  </si>
  <si>
    <t>WOs generated till now</t>
  </si>
  <si>
    <t>Cumulative count</t>
  </si>
  <si>
    <t>RH machinery updated</t>
  </si>
  <si>
    <t>Vessel updated / created</t>
  </si>
  <si>
    <t>WO status counts can overlap. Repeated cycles can produce several WOs per job; no jobs-based percentage.</t>
  </si>
  <si>
    <t>Open items (confirmed)</t>
  </si>
  <si>
    <t>Activities without status</t>
  </si>
  <si>
    <t>Completed activities</t>
  </si>
  <si>
    <t>Only confirmed statuses count as open or complete. Unassessed activities are listed separately; they are not assumed pending.</t>
  </si>
  <si>
    <t>CLIENT STATUS / REMARKS</t>
  </si>
  <si>
    <t>CLIENT-SIDE ACTIVITY STATUS</t>
  </si>
  <si>
    <t>Activity status</t>
  </si>
  <si>
    <t>Count</t>
  </si>
  <si>
    <t>Open</t>
  </si>
  <si>
    <t>Not Applicable</t>
  </si>
  <si>
    <t>Not assessed</t>
  </si>
  <si>
    <t>CRITICAL ITEMS  /  RECEIPT</t>
  </si>
  <si>
    <t>Enter total and received counts for Critical Components, Spares and Jobs to populate this chart.</t>
  </si>
  <si>
    <t>REPORTING NOTES  /  EDITABLE</t>
  </si>
  <si>
    <t>Key completed points</t>
  </si>
  <si>
    <t>Pending points / next actions</t>
  </si>
  <si>
    <t>Major risks / gaps</t>
  </si>
  <si>
    <t>Other remarks</t>
  </si>
  <si>
    <t>No unrelated metrics are averaged. Aggregate percentages require all applicable counts; blank KPIs mean not confirmed, not zero.</t>
  </si>
  <si>
    <t>WORK ORDERS  /  RH MACHINERY SNAPSHOT</t>
  </si>
  <si>
    <t>RH not updated</t>
  </si>
</sst>
</file>

<file path=xl/styles.xml><?xml version="1.0" encoding="utf-8"?>
<styleSheet xmlns="http://schemas.openxmlformats.org/spreadsheetml/2006/main">
  <numFmts count="4">
    <numFmt numFmtId="164" formatCode="dd mmm yyyy"/>
    <numFmt numFmtId="165" formatCode="0.0%"/>
    <numFmt numFmtId="166" formatCode="#,##0;[Red](#,##0);0"/>
    <numFmt numFmtId="167" formatCode="#,##0"/>
  </numFmts>
  <fonts count="9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657989"/>
      <name val="Calibri"/>
      <family val="2"/>
      <scheme val="minor"/>
    </font>
    <font>
      <b/>
      <sz val="11"/>
      <color rgb="FF263B4A"/>
      <name val="Calibri"/>
      <family val="2"/>
      <scheme val="minor"/>
    </font>
    <font>
      <sz val="11"/>
      <color rgb="FF263B4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657989"/>
      <name val="Calibri"/>
      <family val="2"/>
      <scheme val="minor"/>
    </font>
    <font>
      <b/>
      <sz val="14"/>
      <color rgb="FF3F8791"/>
      <name val="Calibri"/>
      <family val="2"/>
      <scheme val="minor"/>
    </font>
    <font>
      <sz val="11"/>
      <color rgb="FF23465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3465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3F8791"/>
        <bgColor indexed="64"/>
      </patternFill>
    </fill>
    <fill>
      <patternFill patternType="solid">
        <fgColor rgb="FFEDF4F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DCE7ED"/>
      </bottom>
      <diagonal/>
    </border>
    <border>
      <left/>
      <right/>
      <top/>
      <bottom style="thin">
        <color rgb="FFE8DBC0"/>
      </bottom>
      <diagonal/>
    </border>
    <border>
      <left style="thin">
        <color rgb="FFE8DBC0"/>
      </left>
      <right style="thin">
        <color rgb="FFE8DBC0"/>
      </right>
      <top style="thin">
        <color rgb="FFE8DBC0"/>
      </top>
      <bottom style="thin">
        <color rgb="FFE8DB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1E5E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164" fontId="4" fillId="4" borderId="2" xfId="0" applyNumberFormat="1" applyFont="1" applyFill="1" applyBorder="1"/>
    <xf numFmtId="0" fontId="5" fillId="5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165" fontId="7" fillId="6" borderId="0" xfId="0" applyNumberFormat="1" applyFont="1" applyFill="1" applyAlignment="1">
      <alignment horizontal="center" vertical="center"/>
    </xf>
    <xf numFmtId="166" fontId="7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4" fillId="4" borderId="3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center" wrapText="1"/>
    </xf>
    <xf numFmtId="167" fontId="4" fillId="4" borderId="2" xfId="0" applyNumberFormat="1" applyFont="1" applyFill="1" applyBorder="1"/>
    <xf numFmtId="166" fontId="8" fillId="6" borderId="5" xfId="0" applyNumberFormat="1" applyFont="1" applyFill="1" applyBorder="1"/>
    <xf numFmtId="165" fontId="8" fillId="6" borderId="5" xfId="0" applyNumberFormat="1" applyFont="1" applyFill="1" applyBorder="1"/>
  </cellXfs>
  <cellStyles count="1">
    <cellStyle name="Normal" xfId="0" builtinId="0"/>
  </cellStyles>
  <dxfs count="1">
    <dxf>
      <font>
        <color rgb="FF9C2820"/>
      </font>
      <fill>
        <patternFill>
          <bgColor rgb="FFFADBD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300" b="1" baseline="0">
                <a:solidFill>
                  <a:srgbClr val="23465F"/>
                </a:solidFill>
                <a:latin typeface="Calibri"/>
              </a:defRPr>
            </a:pPr>
            <a:r>
              <a:rPr lang="en-US" sz="1300" b="1" baseline="0">
                <a:solidFill>
                  <a:srgbClr val="23465F"/>
                </a:solidFill>
                <a:latin typeface="Calibri"/>
              </a:rPr>
              <a:t>Activity assessment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Client-side activities</c:v>
          </c:tx>
          <c:dPt>
            <c:idx val="0"/>
            <c:spPr>
              <a:solidFill>
                <a:srgbClr val="4E9D91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3AD52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99BA7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C9DCE5"/>
              </a:solidFill>
              <a:ln>
                <a:solidFill>
                  <a:srgbClr val="FFFFFF"/>
                </a:solidFill>
              </a:ln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23465F"/>
                    </a:solidFill>
                    <a:latin typeface="Calibri"/>
                  </a:defRPr>
                </a:pPr>
                <a:endParaRPr lang="en-US"/>
              </a:p>
            </c:txPr>
            <c:showPercent val="1"/>
          </c:dLbls>
          <c:cat>
            <c:strRef>
              <c:f>Dashboard!$U$2:$U$5</c:f>
              <c:strCache>
                <c:ptCount val="4"/>
                <c:pt idx="0">
                  <c:v>Completed</c:v>
                </c:pt>
                <c:pt idx="1">
                  <c:v>Open</c:v>
                </c:pt>
                <c:pt idx="2">
                  <c:v>Not Applicable</c:v>
                </c:pt>
                <c:pt idx="3">
                  <c:v>Not assessed</c:v>
                </c:pt>
              </c:strCache>
            </c:strRef>
          </c:cat>
          <c:val>
            <c:numRef>
              <c:f>Dashboard!$V$2:$V$5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657989"/>
              </a:solidFill>
              <a:latin typeface="Calibri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CE7ED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3465F"/>
                </a:solidFill>
                <a:latin typeface="Calibri"/>
              </a:defRPr>
            </a:pPr>
            <a:r>
              <a:rPr lang="en-US" sz="1100" b="1" baseline="0">
                <a:solidFill>
                  <a:srgbClr val="23465F"/>
                </a:solidFill>
                <a:latin typeface="Calibri"/>
              </a:rPr>
              <a:t>Critical items received vs not received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Dashboard!$Y$1</c:f>
              <c:strCache>
                <c:ptCount val="1"/>
                <c:pt idx="0">
                  <c:v>Received</c:v>
                </c:pt>
              </c:strCache>
            </c:strRef>
          </c:tx>
          <c:spPr>
            <a:solidFill>
              <a:srgbClr val="4E9D91"/>
            </a:solidFill>
            <a:ln>
              <a:solidFill>
                <a:srgbClr val="4E9D91"/>
              </a:solidFill>
            </a:ln>
          </c:spPr>
          <c:dLbls>
            <c:txPr>
              <a:bodyPr/>
              <a:lstStyle/>
              <a:p>
                <a:pPr>
                  <a:defRPr sz="800" baseline="0">
                    <a:solidFill>
                      <a:srgbClr val="263B4A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Dashboard!$X$2:$X$4</c:f>
              <c:strCache>
                <c:ptCount val="3"/>
                <c:pt idx="0">
                  <c:v>Components</c:v>
                </c:pt>
                <c:pt idx="1">
                  <c:v>Spares</c:v>
                </c:pt>
                <c:pt idx="2">
                  <c:v>Jobs</c:v>
                </c:pt>
              </c:strCache>
            </c:strRef>
          </c:cat>
          <c:val>
            <c:numRef>
              <c:f>Dashboard!$Y$2:$Y$4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Dashboard!$Z$1</c:f>
              <c:strCache>
                <c:ptCount val="1"/>
                <c:pt idx="0">
                  <c:v>Not received</c:v>
                </c:pt>
              </c:strCache>
            </c:strRef>
          </c:tx>
          <c:spPr>
            <a:solidFill>
              <a:srgbClr val="C9DCE5"/>
            </a:solidFill>
            <a:ln>
              <a:solidFill>
                <a:srgbClr val="C9DCE5"/>
              </a:solidFill>
            </a:ln>
          </c:spPr>
          <c:dLbls>
            <c:txPr>
              <a:bodyPr/>
              <a:lstStyle/>
              <a:p>
                <a:pPr>
                  <a:defRPr sz="800" baseline="0">
                    <a:solidFill>
                      <a:srgbClr val="263B4A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Dashboard!$X$2:$X$4</c:f>
              <c:strCache>
                <c:ptCount val="3"/>
                <c:pt idx="0">
                  <c:v>Components</c:v>
                </c:pt>
                <c:pt idx="1">
                  <c:v>Spares</c:v>
                </c:pt>
                <c:pt idx="2">
                  <c:v>Jobs</c:v>
                </c:pt>
              </c:strCache>
            </c:strRef>
          </c:cat>
          <c:val>
            <c:numRef>
              <c:f>Dashboard!$Z$2:$Z$4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Critical category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800" baseline="0">
                <a:solidFill>
                  <a:srgbClr val="657989"/>
                </a:solidFill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items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657989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657989"/>
              </a:solidFill>
              <a:latin typeface="Calibri"/>
            </a:defRPr>
          </a:pPr>
          <a:endParaRPr lang="en-US"/>
        </a:p>
      </c:txPr>
    </c:legend>
  </c:chart>
  <c:spPr>
    <a:solidFill>
      <a:srgbClr val="FFFFFF"/>
    </a:solidFill>
    <a:ln w="12700">
      <a:solidFill>
        <a:srgbClr val="DCE7ED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8</xdr:row>
      <xdr:rowOff>47625</xdr:rowOff>
    </xdr:from>
    <xdr:to>
      <xdr:col>14</xdr:col>
      <xdr:colOff>714375</xdr:colOff>
      <xdr:row>17</xdr:row>
      <xdr:rowOff>238125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</xdr:colOff>
      <xdr:row>20</xdr:row>
      <xdr:rowOff>28575</xdr:rowOff>
    </xdr:from>
    <xdr:to>
      <xdr:col>14</xdr:col>
      <xdr:colOff>714375</xdr:colOff>
      <xdr:row>28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F8791"/>
    <pageSetUpPr fitToPage="1"/>
  </sheetPr>
  <dimension ref="A1:Z39"/>
  <sheetViews>
    <sheetView showGridLines="0" tabSelected="1" zoomScale="85" zoomScaleNormal="85" workbookViewId="0">
      <pane ySplit="8" topLeftCell="A9" activePane="bottomLeft" state="frozen"/>
      <selection pane="bottomLeft"/>
    </sheetView>
  </sheetViews>
  <sheetFormatPr defaultRowHeight="15"/>
  <cols>
    <col min="1" max="1" width="4.7109375" customWidth="1"/>
    <col min="2" max="2" width="27.7109375" customWidth="1"/>
    <col min="3" max="3" width="17.7109375" customWidth="1"/>
    <col min="4" max="4" width="18.7109375" customWidth="1"/>
    <col min="5" max="5" width="4.7109375" customWidth="1"/>
    <col min="6" max="6" width="5.7109375" customWidth="1"/>
    <col min="7" max="7" width="29.7109375" customWidth="1"/>
    <col min="8" max="9" width="17.7109375" customWidth="1"/>
    <col min="10" max="18" width="12.28515625" customWidth="1"/>
    <col min="21" max="26" width="16.7109375" hidden="1" customWidth="1"/>
  </cols>
  <sheetData>
    <row r="1" spans="1:26" ht="25" customHeight="1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U1" t="s">
        <v>99</v>
      </c>
      <c r="V1" t="s">
        <v>100</v>
      </c>
      <c r="X1" t="s">
        <v>30</v>
      </c>
      <c r="Y1" t="s">
        <v>5</v>
      </c>
      <c r="Z1" t="s">
        <v>7</v>
      </c>
    </row>
    <row r="2" spans="1:26" ht="2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U2" t="s">
        <v>63</v>
      </c>
      <c r="V2">
        <f>COUNTIF('Update Tracker'!$E$29:$E$40,"Completed")</f>
        <v>0</v>
      </c>
      <c r="X2" t="s">
        <v>15</v>
      </c>
      <c r="Y2">
        <f>IF(ISNUMBER('Update Tracker'!C22),'Update Tracker'!C22,"")</f>
        <v/>
      </c>
      <c r="Z2">
        <f>IF(ISNUMBER('Update Tracker'!D22),'Update Tracker'!D22,"")</f>
        <v/>
      </c>
    </row>
    <row r="3" spans="1:26" ht="28" customHeight="1">
      <c r="A3" s="2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U3" t="s">
        <v>101</v>
      </c>
      <c r="V3">
        <f>COUNTIF('Update Tracker'!$E$29:$E$40,"Not Started")+COUNTIF('Update Tracker'!$E$29:$E$40,"In Progress")+COUNTIF('Update Tracker'!$E$29:$E$40,"Partially Completed")+COUNTIF('Update Tracker'!$E$29:$E$40,"Pending Client Input")+COUNTIF('Update Tracker'!$E$29:$E$40,"Pending Client Action")+COUNTIF('Update Tracker'!$E$29:$E$40,"Pending SAIL Action")+COUNTIF('Update Tracker'!$E$29:$E$40,"Pending Review")+COUNTIF('Update Tracker'!$E$29:$E$40,"On Hold")</f>
        <v>0</v>
      </c>
      <c r="X3" t="s">
        <v>17</v>
      </c>
      <c r="Y3">
        <f>IF(ISNUMBER('Update Tracker'!C23),'Update Tracker'!C23,"")</f>
        <v/>
      </c>
      <c r="Z3">
        <f>IF(ISNUMBER('Update Tracker'!D23),'Update Tracker'!D23,"")</f>
        <v/>
      </c>
    </row>
    <row r="4" spans="1:26">
      <c r="U4" t="s">
        <v>102</v>
      </c>
      <c r="V4">
        <f>COUNTIF('Update Tracker'!$E$29:$E$40,"Not Applicable")</f>
        <v>0</v>
      </c>
      <c r="X4" t="s">
        <v>16</v>
      </c>
      <c r="Y4">
        <f>IF(ISNUMBER('Update Tracker'!C24),'Update Tracker'!C24,"")</f>
        <v/>
      </c>
      <c r="Z4">
        <f>IF(ISNUMBER('Update Tracker'!D24),'Update Tracker'!D24,"")</f>
        <v/>
      </c>
    </row>
    <row r="5" spans="1:26">
      <c r="B5" s="3" t="s">
        <v>77</v>
      </c>
      <c r="C5" s="4"/>
      <c r="D5" s="4"/>
      <c r="G5" s="3" t="s">
        <v>12</v>
      </c>
      <c r="H5" s="5"/>
      <c r="U5" t="s">
        <v>103</v>
      </c>
      <c r="V5">
        <f>COUNTA('Update Tracker'!$A$29:$A$40)-COUNTA('Update Tracker'!$E$29:$E$40)</f>
        <v>12</v>
      </c>
    </row>
    <row r="6" spans="1:26">
      <c r="B6" s="3" t="s">
        <v>78</v>
      </c>
      <c r="C6" s="4"/>
      <c r="D6" s="4"/>
      <c r="G6" s="3" t="s">
        <v>79</v>
      </c>
      <c r="H6" s="4"/>
      <c r="I6" s="4"/>
    </row>
    <row r="8" spans="1:26">
      <c r="B8" s="6" t="s">
        <v>80</v>
      </c>
      <c r="C8" s="6"/>
      <c r="D8" s="6"/>
      <c r="G8" s="6" t="s">
        <v>81</v>
      </c>
      <c r="H8" s="6"/>
      <c r="I8" s="6"/>
      <c r="J8" s="6" t="s">
        <v>98</v>
      </c>
      <c r="K8" s="6"/>
      <c r="L8" s="6"/>
      <c r="M8" s="6"/>
      <c r="N8" s="6"/>
      <c r="O8" s="6"/>
      <c r="P8" s="6"/>
      <c r="Q8" s="6"/>
      <c r="R8" s="6"/>
    </row>
    <row r="10" spans="1:26" ht="34" customHeight="1">
      <c r="B10" s="3" t="s">
        <v>82</v>
      </c>
      <c r="C10" s="7" t="s">
        <v>83</v>
      </c>
      <c r="D10" s="8">
        <f>IF(AND(COUNT('Update Tracker'!B7:B10)=4,COUNT('Update Tracker'!C7:C10)=4,COUNTIF('Update Tracker'!B7:B10,"&gt;0")=4,SUMPRODUCT(--('Update Tracker'!C7:C10&gt;=0))=4,SUMPRODUCT(--('Update Tracker'!C7:C10&lt;='Update Tracker'!B7:B10))=4),0.3*'Update Tracker'!C7/'Update Tracker'!B7+0.3*'Update Tracker'!C8/'Update Tracker'!B8+0.3*'Update Tracker'!C9/'Update Tracker'!B9+0.1*'Update Tracker'!C10/'Update Tracker'!B10,"")</f>
        <v/>
      </c>
      <c r="G10" s="3" t="s">
        <v>93</v>
      </c>
      <c r="I10" s="9">
        <f>IF(COUNTA('Update Tracker'!$E$29:$E$40)=0,"",COUNTIF('Update Tracker'!$E$29:$E$40,"Not Started")+COUNTIF('Update Tracker'!$E$29:$E$40,"In Progress")+COUNTIF('Update Tracker'!$E$29:$E$40,"Partially Completed")+COUNTIF('Update Tracker'!$E$29:$E$40,"Pending Client Input")+COUNTIF('Update Tracker'!$E$29:$E$40,"Pending Client Action")+COUNTIF('Update Tracker'!$E$29:$E$40,"Pending SAIL Action")+COUNTIF('Update Tracker'!$E$29:$E$40,"Pending Review")+COUNTIF('Update Tracker'!$E$29:$E$40,"On Hold"))</f>
        <v/>
      </c>
    </row>
    <row r="12" spans="1:26" ht="34" customHeight="1">
      <c r="B12" s="3" t="s">
        <v>84</v>
      </c>
      <c r="C12" s="7" t="s">
        <v>83</v>
      </c>
      <c r="D12" s="8">
        <f>IF(AND(COUNT('Update Tracker'!B7:B10)=4,COUNT('Update Tracker'!C7:C10)=4,COUNT('Update Tracker'!D7:D10)=4,COUNTIF('Update Tracker'!B7:B10,"&gt;0")=4,SUMPRODUCT(--('Update Tracker'!C7:C10&gt;=0))=4,SUMPRODUCT(--('Update Tracker'!C7:C10&lt;='Update Tracker'!B7:B10))=4,SUMPRODUCT(--('Update Tracker'!D7:D10&gt;=0))=4,SUMPRODUCT(--('Update Tracker'!D7:D10&lt;='Update Tracker'!C7:C10))=4),0.3*'Update Tracker'!D7/'Update Tracker'!B7+0.3*'Update Tracker'!D8/'Update Tracker'!B8+0.3*'Update Tracker'!D9/'Update Tracker'!B9+0.1*'Update Tracker'!D10/'Update Tracker'!B10,"")</f>
        <v/>
      </c>
      <c r="G12" s="3" t="s">
        <v>94</v>
      </c>
      <c r="I12" s="9">
        <f>COUNTA('Update Tracker'!$A$29:$A$40)-COUNTA('Update Tracker'!$E$29:$E$40)</f>
        <v>12</v>
      </c>
    </row>
    <row r="14" spans="1:26" ht="34" customHeight="1">
      <c r="B14" s="3" t="s">
        <v>26</v>
      </c>
      <c r="C14" s="7" t="s">
        <v>85</v>
      </c>
      <c r="D14" s="9">
        <f>IF(ISNUMBER('Update Tracker'!B16),'Update Tracker'!B16,"")</f>
        <v/>
      </c>
      <c r="G14" s="3" t="s">
        <v>95</v>
      </c>
      <c r="I14" s="9">
        <f>IF(COUNTA('Update Tracker'!$E$29:$E$40)=0,"",COUNTIF('Update Tracker'!$E$29:$E$40,"Completed"))</f>
        <v/>
      </c>
    </row>
    <row r="16" spans="1:26" ht="34" customHeight="1">
      <c r="B16" s="3" t="s">
        <v>27</v>
      </c>
      <c r="C16" s="7" t="s">
        <v>85</v>
      </c>
      <c r="D16" s="9">
        <f>IF(ISNUMBER('Update Tracker'!B17),'Update Tracker'!B17,"")</f>
        <v/>
      </c>
      <c r="G16" s="10" t="s">
        <v>96</v>
      </c>
      <c r="H16" s="10"/>
      <c r="I16" s="10"/>
    </row>
    <row r="17" spans="2:18">
      <c r="G17" s="10"/>
      <c r="H17" s="10"/>
      <c r="I17" s="10"/>
    </row>
    <row r="18" spans="2:18" ht="34" customHeight="1">
      <c r="B18" s="3" t="s">
        <v>86</v>
      </c>
      <c r="C18" s="7" t="s">
        <v>87</v>
      </c>
      <c r="D18" s="8">
        <f>IF(AND(COUNT('Update Tracker'!B22:B24)=3,COUNT('Update Tracker'!C22:C24)=3,SUM('Update Tracker'!B22:B24)&gt;0,SUMPRODUCT(--('Update Tracker'!C22:C24&lt;='Update Tracker'!B22:B24))=3),SUM('Update Tracker'!C22:C24)/SUM('Update Tracker'!B22:B24),"")</f>
        <v/>
      </c>
      <c r="G18" s="10"/>
      <c r="H18" s="10"/>
      <c r="I18" s="10"/>
    </row>
    <row r="20" spans="2:18" ht="34" customHeight="1">
      <c r="B20" s="3" t="s">
        <v>88</v>
      </c>
      <c r="C20" s="7" t="s">
        <v>89</v>
      </c>
      <c r="D20" s="9">
        <f>IF(ISNUMBER('Update Tracker'!B46),'Update Tracker'!B46,"")</f>
        <v/>
      </c>
      <c r="G20" s="6" t="s">
        <v>97</v>
      </c>
      <c r="H20" s="6"/>
      <c r="I20" s="6"/>
      <c r="J20" s="6" t="s">
        <v>104</v>
      </c>
      <c r="K20" s="6"/>
      <c r="L20" s="6"/>
      <c r="M20" s="6"/>
      <c r="N20" s="6"/>
      <c r="O20" s="6"/>
      <c r="P20" s="6"/>
      <c r="Q20" s="6"/>
      <c r="R20" s="6"/>
    </row>
    <row r="21" spans="2:18">
      <c r="G21" s="11"/>
      <c r="H21" s="11"/>
      <c r="I21" s="11"/>
    </row>
    <row r="22" spans="2:18" ht="34" customHeight="1">
      <c r="B22" s="3" t="s">
        <v>90</v>
      </c>
      <c r="C22" s="7" t="s">
        <v>91</v>
      </c>
      <c r="D22" s="8">
        <f>IF(ISNUMBER('Update Tracker'!E56),'Update Tracker'!E56,"")</f>
        <v/>
      </c>
      <c r="G22" s="11"/>
      <c r="H22" s="11"/>
      <c r="I22" s="11"/>
    </row>
    <row r="23" spans="2:18" ht="24" customHeight="1">
      <c r="B23" s="10" t="s">
        <v>92</v>
      </c>
      <c r="C23" s="10"/>
      <c r="D23" s="10"/>
      <c r="G23" s="11"/>
      <c r="H23" s="11"/>
      <c r="I23" s="11"/>
    </row>
    <row r="24" spans="2:18" ht="24" customHeight="1">
      <c r="B24" s="10"/>
      <c r="C24" s="10"/>
      <c r="D24" s="10"/>
    </row>
    <row r="25" spans="2:18">
      <c r="B25" s="6" t="s">
        <v>106</v>
      </c>
      <c r="C25" s="6"/>
      <c r="D25" s="6"/>
      <c r="E25" s="6"/>
      <c r="F25" s="6"/>
      <c r="G25" s="6"/>
      <c r="H25" s="6"/>
      <c r="I25" s="6"/>
    </row>
    <row r="26" spans="2:18" ht="27" customHeight="1">
      <c r="B26" s="3" t="s">
        <v>107</v>
      </c>
      <c r="C26" s="11"/>
      <c r="D26" s="11"/>
      <c r="E26" s="11"/>
      <c r="F26" s="11"/>
      <c r="G26" s="11"/>
      <c r="H26" s="11"/>
      <c r="I26" s="11"/>
    </row>
    <row r="27" spans="2:18" ht="21" customHeight="1">
      <c r="C27" s="11"/>
      <c r="D27" s="11"/>
      <c r="E27" s="11"/>
      <c r="F27" s="11"/>
      <c r="G27" s="11"/>
      <c r="H27" s="11"/>
      <c r="I27" s="11"/>
    </row>
    <row r="28" spans="2:18" ht="27" customHeight="1">
      <c r="B28" s="3" t="s">
        <v>108</v>
      </c>
      <c r="C28" s="11"/>
      <c r="D28" s="11"/>
      <c r="E28" s="11"/>
      <c r="F28" s="11"/>
      <c r="G28" s="11"/>
      <c r="H28" s="11"/>
      <c r="I28" s="11"/>
    </row>
    <row r="29" spans="2:18" ht="21" customHeight="1">
      <c r="C29" s="11"/>
      <c r="D29" s="11"/>
      <c r="E29" s="11"/>
      <c r="F29" s="11"/>
      <c r="G29" s="11"/>
      <c r="H29" s="11"/>
      <c r="I29" s="11"/>
    </row>
    <row r="30" spans="2:18" ht="27" customHeight="1">
      <c r="B30" s="3" t="s">
        <v>109</v>
      </c>
      <c r="C30" s="11"/>
      <c r="D30" s="11"/>
      <c r="E30" s="11"/>
      <c r="F30" s="11"/>
      <c r="G30" s="11"/>
      <c r="H30" s="11"/>
      <c r="I30" s="11"/>
    </row>
    <row r="31" spans="2:18" ht="21" customHeight="1">
      <c r="C31" s="11"/>
      <c r="D31" s="11"/>
      <c r="E31" s="11"/>
      <c r="F31" s="11"/>
      <c r="G31" s="11"/>
      <c r="H31" s="11"/>
      <c r="I31" s="11"/>
    </row>
    <row r="32" spans="2:18" ht="27" customHeight="1">
      <c r="B32" s="3" t="s">
        <v>110</v>
      </c>
      <c r="C32" s="11"/>
      <c r="D32" s="11"/>
      <c r="E32" s="11"/>
      <c r="F32" s="11"/>
      <c r="G32" s="11"/>
      <c r="H32" s="11"/>
      <c r="I32" s="11"/>
    </row>
    <row r="33" spans="2:18" ht="21" customHeight="1">
      <c r="C33" s="11"/>
      <c r="D33" s="11"/>
      <c r="E33" s="11"/>
      <c r="F33" s="11"/>
      <c r="G33" s="11"/>
      <c r="H33" s="11"/>
      <c r="I33" s="11"/>
    </row>
    <row r="34" spans="2:18">
      <c r="B34" s="7" t="s">
        <v>111</v>
      </c>
      <c r="C34" s="7"/>
      <c r="D34" s="7"/>
      <c r="E34" s="7"/>
      <c r="F34" s="7"/>
      <c r="G34" s="7"/>
      <c r="H34" s="7"/>
      <c r="I34" s="7"/>
    </row>
    <row r="35" spans="2:18">
      <c r="B35" s="6" t="s">
        <v>112</v>
      </c>
      <c r="C35" s="6"/>
      <c r="D35" s="6"/>
      <c r="E35" s="6"/>
      <c r="F35" s="6"/>
      <c r="G35" s="6"/>
      <c r="H35" s="6"/>
      <c r="I35" s="6"/>
    </row>
    <row r="36" spans="2:18" ht="28" customHeight="1">
      <c r="B36" s="3" t="s">
        <v>59</v>
      </c>
      <c r="D36" s="9">
        <f>IF(ISNUMBER('Update Tracker'!B47),'Update Tracker'!B47,"")</f>
        <v/>
      </c>
      <c r="G36" s="3" t="s">
        <v>60</v>
      </c>
      <c r="I36" s="9">
        <f>IF(ISNUMBER('Update Tracker'!B48),'Update Tracker'!B48,"")</f>
        <v/>
      </c>
    </row>
    <row r="37" spans="2:18" ht="28" customHeight="1">
      <c r="B37" s="3" t="s">
        <v>61</v>
      </c>
      <c r="D37" s="9">
        <f>IF(ISNUMBER('Update Tracker'!B49),'Update Tracker'!B49,"")</f>
        <v/>
      </c>
      <c r="G37" s="3" t="s">
        <v>62</v>
      </c>
      <c r="I37" s="9">
        <f>IF(ISNUMBER('Update Tracker'!B50),'Update Tracker'!B50,"")</f>
        <v/>
      </c>
      <c r="J37" s="10" t="s">
        <v>105</v>
      </c>
      <c r="K37" s="10"/>
      <c r="L37" s="10"/>
      <c r="M37" s="10"/>
      <c r="N37" s="10"/>
      <c r="O37" s="10"/>
      <c r="P37" s="10"/>
      <c r="Q37" s="10"/>
      <c r="R37" s="10"/>
    </row>
    <row r="38" spans="2:18" ht="28" customHeight="1">
      <c r="B38" s="3" t="s">
        <v>63</v>
      </c>
      <c r="D38" s="9">
        <f>IF(ISNUMBER('Update Tracker'!B51),'Update Tracker'!B51,"")</f>
        <v/>
      </c>
      <c r="G38" s="3" t="s">
        <v>67</v>
      </c>
      <c r="I38" s="9">
        <f>IF(ISNUMBER('Update Tracker'!B56),'Update Tracker'!B56,"")</f>
        <v/>
      </c>
      <c r="J38" s="10"/>
      <c r="K38" s="10"/>
      <c r="L38" s="10"/>
      <c r="M38" s="10"/>
      <c r="N38" s="10"/>
      <c r="O38" s="10"/>
      <c r="P38" s="10"/>
      <c r="Q38" s="10"/>
      <c r="R38" s="10"/>
    </row>
    <row r="39" spans="2:18" ht="28" customHeight="1">
      <c r="B39" s="3" t="s">
        <v>68</v>
      </c>
      <c r="D39" s="9">
        <f>IF(ISNUMBER('Update Tracker'!C56),'Update Tracker'!C56,"")</f>
        <v/>
      </c>
      <c r="G39" s="3" t="s">
        <v>113</v>
      </c>
      <c r="I39" s="9">
        <f>IF(ISNUMBER('Update Tracker'!D56),'Update Tracker'!D56,"")</f>
        <v/>
      </c>
    </row>
  </sheetData>
  <mergeCells count="21">
    <mergeCell ref="A1:R2"/>
    <mergeCell ref="A3:R3"/>
    <mergeCell ref="C5:D5"/>
    <mergeCell ref="C6:D6"/>
    <mergeCell ref="H6:I6"/>
    <mergeCell ref="B8:D8"/>
    <mergeCell ref="G8:I8"/>
    <mergeCell ref="B23:D24"/>
    <mergeCell ref="G16:I18"/>
    <mergeCell ref="G20:I20"/>
    <mergeCell ref="G21:I23"/>
    <mergeCell ref="J8:R8"/>
    <mergeCell ref="J20:R20"/>
    <mergeCell ref="J37:R38"/>
    <mergeCell ref="B25:I25"/>
    <mergeCell ref="C26:I27"/>
    <mergeCell ref="C28:I29"/>
    <mergeCell ref="C30:I31"/>
    <mergeCell ref="C32:I33"/>
    <mergeCell ref="B34:I34"/>
    <mergeCell ref="B35:I35"/>
  </mergeCells>
  <dataValidations count="1">
    <dataValidation type="date" allowBlank="1" showInputMessage="1" showErrorMessage="1" sqref="H5">
      <formula1>1900-01-01</formula1>
      <formula2>2100-12-31</formula2>
    </dataValidation>
  </dataValidations>
  <pageMargins left="0.35" right="0.35" top="0.45" bottom="0.45" header="0.3" footer="0.3"/>
  <pageSetup orientation="landscape"/>
  <headerFooter>
    <oddFooter>&amp;CSAIL PMS • Stakeholder update     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3465F"/>
    <pageSetUpPr fitToPage="1"/>
  </sheetPr>
  <dimension ref="A1:L60"/>
  <sheetViews>
    <sheetView showGridLines="0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4.7109375" customWidth="1"/>
    <col min="2" max="2" width="16.7109375" customWidth="1"/>
    <col min="3" max="4" width="17.7109375" customWidth="1"/>
    <col min="5" max="7" width="15.7109375" customWidth="1"/>
    <col min="8" max="8" width="18.7109375" customWidth="1"/>
    <col min="9" max="11" width="17.7109375" customWidth="1"/>
    <col min="12" max="12" width="32.7109375" customWidth="1"/>
  </cols>
  <sheetData>
    <row r="1" spans="1:12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7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 ht="22" customHeight="1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33" customHeight="1">
      <c r="A6" s="12" t="s">
        <v>3</v>
      </c>
      <c r="B6" s="12" t="s">
        <v>4</v>
      </c>
      <c r="C6" s="12" t="s">
        <v>5</v>
      </c>
      <c r="D6" s="12" t="s">
        <v>6</v>
      </c>
      <c r="E6" s="12" t="s">
        <v>7</v>
      </c>
      <c r="F6" s="12" t="s">
        <v>8</v>
      </c>
      <c r="G6" s="12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14</v>
      </c>
    </row>
    <row r="7" spans="1:12" ht="34" customHeight="1">
      <c r="A7" s="3" t="s">
        <v>15</v>
      </c>
      <c r="B7" s="13"/>
      <c r="C7" s="13"/>
      <c r="D7" s="13"/>
      <c r="E7" s="14">
        <f>IF(AND(ISNUMBER(B7),ISNUMBER(C7),C7&lt;=B7),B7-C7,"")</f>
        <v/>
      </c>
      <c r="F7" s="15">
        <f>IF(AND(ISNUMBER(C7),ISNUMBER(B7),B7&gt;0,C7&lt;=B7),C7/B7,"")</f>
        <v/>
      </c>
      <c r="G7" s="15">
        <f>IF(AND(ISNUMBER(D7),ISNUMBER(B7),B7&gt;0,D7&lt;=B7),D7/B7,"")</f>
        <v/>
      </c>
      <c r="H7" s="4"/>
      <c r="I7" s="4"/>
      <c r="J7" s="5"/>
      <c r="K7" s="5"/>
      <c r="L7" s="4"/>
    </row>
    <row r="8" spans="1:12" ht="34" customHeight="1">
      <c r="A8" s="3" t="s">
        <v>16</v>
      </c>
      <c r="B8" s="13"/>
      <c r="C8" s="13"/>
      <c r="D8" s="13"/>
      <c r="E8" s="14">
        <f>IF(AND(ISNUMBER(B8),ISNUMBER(C8),C8&lt;=B8),B8-C8,"")</f>
        <v/>
      </c>
      <c r="F8" s="15">
        <f>IF(AND(ISNUMBER(C8),ISNUMBER(B8),B8&gt;0,C8&lt;=B8),C8/B8,"")</f>
        <v/>
      </c>
      <c r="G8" s="15">
        <f>IF(AND(ISNUMBER(D8),ISNUMBER(B8),B8&gt;0,D8&lt;=B8),D8/B8,"")</f>
        <v/>
      </c>
      <c r="H8" s="4"/>
      <c r="I8" s="4"/>
      <c r="J8" s="5"/>
      <c r="K8" s="5"/>
      <c r="L8" s="4"/>
    </row>
    <row r="9" spans="1:12" ht="34" customHeight="1">
      <c r="A9" s="3" t="s">
        <v>17</v>
      </c>
      <c r="B9" s="13"/>
      <c r="C9" s="13"/>
      <c r="D9" s="13"/>
      <c r="E9" s="14">
        <f>IF(AND(ISNUMBER(B9),ISNUMBER(C9),C9&lt;=B9),B9-C9,"")</f>
        <v/>
      </c>
      <c r="F9" s="15">
        <f>IF(AND(ISNUMBER(C9),ISNUMBER(B9),B9&gt;0,C9&lt;=B9),C9/B9,"")</f>
        <v/>
      </c>
      <c r="G9" s="15">
        <f>IF(AND(ISNUMBER(D9),ISNUMBER(B9),B9&gt;0,D9&lt;=B9),D9/B9,"")</f>
        <v/>
      </c>
      <c r="H9" s="4"/>
      <c r="I9" s="4"/>
      <c r="J9" s="5"/>
      <c r="K9" s="5"/>
      <c r="L9" s="4"/>
    </row>
    <row r="10" spans="1:12" ht="34" customHeight="1">
      <c r="A10" s="3" t="s">
        <v>18</v>
      </c>
      <c r="B10" s="13"/>
      <c r="C10" s="13"/>
      <c r="D10" s="13"/>
      <c r="E10" s="14">
        <f>IF(AND(ISNUMBER(B10),ISNUMBER(C10),C10&lt;=B10),B10-C10,"")</f>
        <v/>
      </c>
      <c r="F10" s="15">
        <f>IF(AND(ISNUMBER(C10),ISNUMBER(B10),B10&gt;0,C10&lt;=B10),C10/B10,"")</f>
        <v/>
      </c>
      <c r="G10" s="15">
        <f>IF(AND(ISNUMBER(D10),ISNUMBER(B10),B10&gt;0,D10&lt;=B10),D10/B10,"")</f>
        <v/>
      </c>
      <c r="H10" s="4"/>
      <c r="I10" s="4"/>
      <c r="J10" s="5"/>
      <c r="K10" s="5"/>
      <c r="L10" s="4"/>
    </row>
    <row r="11" spans="1:12" ht="34" customHeight="1">
      <c r="A11" s="3" t="s">
        <v>19</v>
      </c>
      <c r="B11" s="13"/>
      <c r="C11" s="13"/>
      <c r="D11" s="13"/>
      <c r="E11" s="14">
        <f>IF(AND(ISNUMBER(B11),ISNUMBER(C11),C11&lt;=B11),B11-C11,"")</f>
        <v/>
      </c>
      <c r="F11" s="15">
        <f>IF(AND(ISNUMBER(C11),ISNUMBER(B11),B11&gt;0,C11&lt;=B11),C11/B11,"")</f>
        <v/>
      </c>
      <c r="G11" s="15">
        <f>IF(AND(ISNUMBER(D11),ISNUMBER(B11),B11&gt;0,D11&lt;=B11),D11/B11,"")</f>
        <v/>
      </c>
      <c r="H11" s="4"/>
      <c r="I11" s="4"/>
      <c r="J11" s="5"/>
      <c r="K11" s="5"/>
      <c r="L11" s="4"/>
    </row>
    <row r="12" spans="1:12" ht="30" customHeight="1">
      <c r="A12" s="7" t="s">
        <v>20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4" spans="1:12" ht="22" customHeight="1">
      <c r="A14" s="6" t="s">
        <v>21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36" customHeight="1">
      <c r="A15" s="12" t="s">
        <v>22</v>
      </c>
      <c r="B15" s="12" t="s">
        <v>23</v>
      </c>
      <c r="C15" s="12" t="s">
        <v>24</v>
      </c>
      <c r="D15" s="12"/>
      <c r="E15" s="12"/>
      <c r="F15" s="12"/>
      <c r="G15" s="12" t="s">
        <v>10</v>
      </c>
      <c r="H15" s="12" t="s">
        <v>11</v>
      </c>
      <c r="I15" s="12" t="s">
        <v>13</v>
      </c>
      <c r="J15" s="12" t="s">
        <v>12</v>
      </c>
      <c r="K15" s="12" t="s">
        <v>25</v>
      </c>
      <c r="L15" s="12"/>
    </row>
    <row r="16" spans="1:12" ht="34" customHeight="1">
      <c r="A16" s="3" t="s">
        <v>26</v>
      </c>
      <c r="B16" s="13"/>
      <c r="C16" s="4"/>
      <c r="D16" s="4"/>
      <c r="E16" s="4"/>
      <c r="F16" s="4"/>
      <c r="G16" s="4"/>
      <c r="H16" s="4"/>
      <c r="I16" s="5"/>
      <c r="J16" s="5"/>
      <c r="K16" s="4"/>
      <c r="L16" s="4"/>
    </row>
    <row r="17" spans="1:12" ht="34" customHeight="1">
      <c r="A17" s="3" t="s">
        <v>27</v>
      </c>
      <c r="B17" s="13"/>
      <c r="C17" s="4"/>
      <c r="D17" s="4"/>
      <c r="E17" s="4"/>
      <c r="F17" s="4"/>
      <c r="G17" s="4"/>
      <c r="H17" s="4"/>
      <c r="I17" s="5"/>
      <c r="J17" s="5"/>
      <c r="K17" s="4"/>
      <c r="L17" s="4"/>
    </row>
    <row r="18" spans="1:12" ht="26" customHeight="1">
      <c r="A18" s="7" t="s">
        <v>28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20" spans="1:12" ht="22" customHeight="1">
      <c r="A20" s="6" t="s">
        <v>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ht="36" customHeight="1">
      <c r="A21" s="12" t="s">
        <v>30</v>
      </c>
      <c r="B21" s="12" t="s">
        <v>4</v>
      </c>
      <c r="C21" s="12" t="s">
        <v>5</v>
      </c>
      <c r="D21" s="12" t="s">
        <v>7</v>
      </c>
      <c r="E21" s="12" t="s">
        <v>8</v>
      </c>
      <c r="F21" s="12" t="s">
        <v>10</v>
      </c>
      <c r="G21" s="12" t="s">
        <v>11</v>
      </c>
      <c r="H21" s="12" t="s">
        <v>12</v>
      </c>
      <c r="I21" s="12" t="s">
        <v>13</v>
      </c>
      <c r="J21" s="12" t="s">
        <v>14</v>
      </c>
      <c r="K21" s="12"/>
      <c r="L21" s="12"/>
    </row>
    <row r="22" spans="1:12" ht="32" customHeight="1">
      <c r="A22" s="3" t="s">
        <v>31</v>
      </c>
      <c r="B22" s="13"/>
      <c r="C22" s="13"/>
      <c r="D22" s="14">
        <f>IF(AND(ISNUMBER(B22),ISNUMBER(C22),C22&lt;=B22),B22-C22,"")</f>
        <v/>
      </c>
      <c r="E22" s="15">
        <f>IF(AND(ISNUMBER(C22),ISNUMBER(B22),B22&gt;0,C22&lt;=B22),C22/B22,"")</f>
        <v/>
      </c>
      <c r="F22" s="4"/>
      <c r="G22" s="4"/>
      <c r="H22" s="5"/>
      <c r="I22" s="5"/>
      <c r="J22" s="4"/>
      <c r="K22" s="4"/>
      <c r="L22" s="4"/>
    </row>
    <row r="23" spans="1:12" ht="32" customHeight="1">
      <c r="A23" s="3" t="s">
        <v>32</v>
      </c>
      <c r="B23" s="13"/>
      <c r="C23" s="13"/>
      <c r="D23" s="14">
        <f>IF(AND(ISNUMBER(B23),ISNUMBER(C23),C23&lt;=B23),B23-C23,"")</f>
        <v/>
      </c>
      <c r="E23" s="15">
        <f>IF(AND(ISNUMBER(C23),ISNUMBER(B23),B23&gt;0,C23&lt;=B23),C23/B23,"")</f>
        <v/>
      </c>
      <c r="F23" s="4"/>
      <c r="G23" s="4"/>
      <c r="H23" s="5"/>
      <c r="I23" s="5"/>
      <c r="J23" s="4"/>
      <c r="K23" s="4"/>
      <c r="L23" s="4"/>
    </row>
    <row r="24" spans="1:12" ht="32" customHeight="1">
      <c r="A24" s="3" t="s">
        <v>33</v>
      </c>
      <c r="B24" s="13"/>
      <c r="C24" s="13"/>
      <c r="D24" s="14">
        <f>IF(AND(ISNUMBER(B24),ISNUMBER(C24),C24&lt;=B24),B24-C24,"")</f>
        <v/>
      </c>
      <c r="E24" s="15">
        <f>IF(AND(ISNUMBER(C24),ISNUMBER(B24),B24&gt;0,C24&lt;=B24),C24/B24,"")</f>
        <v/>
      </c>
      <c r="F24" s="4"/>
      <c r="G24" s="4"/>
      <c r="H24" s="5"/>
      <c r="I24" s="5"/>
      <c r="J24" s="4"/>
      <c r="K24" s="4"/>
      <c r="L24" s="4"/>
    </row>
    <row r="25" spans="1:12" ht="27" customHeight="1">
      <c r="A25" s="7" t="s">
        <v>34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7" spans="1:12" ht="22" customHeight="1">
      <c r="A27" s="6" t="s">
        <v>35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ht="36" customHeight="1">
      <c r="A28" s="12" t="s">
        <v>36</v>
      </c>
      <c r="B28" s="12" t="s">
        <v>37</v>
      </c>
      <c r="C28" s="12" t="s">
        <v>38</v>
      </c>
      <c r="D28" s="12" t="s">
        <v>39</v>
      </c>
      <c r="E28" s="12" t="s">
        <v>10</v>
      </c>
      <c r="F28" s="12" t="s">
        <v>40</v>
      </c>
      <c r="G28" s="12" t="s">
        <v>11</v>
      </c>
      <c r="H28" s="12" t="s">
        <v>13</v>
      </c>
      <c r="I28" s="12" t="s">
        <v>41</v>
      </c>
      <c r="J28" s="12" t="s">
        <v>12</v>
      </c>
      <c r="K28" s="12" t="s">
        <v>25</v>
      </c>
      <c r="L28" s="12"/>
    </row>
    <row r="29" spans="1:12" ht="30" customHeight="1">
      <c r="A29" s="3" t="s">
        <v>42</v>
      </c>
      <c r="B29" s="13"/>
      <c r="C29" s="13"/>
      <c r="D29" s="14">
        <f>IF(AND(ISNUMBER(B29),ISNUMBER(C29),C29&lt;=B29),B29-C29,"")</f>
        <v/>
      </c>
      <c r="E29" s="4"/>
      <c r="F29" s="4"/>
      <c r="G29" s="4"/>
      <c r="H29" s="5"/>
      <c r="I29" s="5"/>
      <c r="J29" s="5"/>
      <c r="K29" s="4"/>
      <c r="L29" s="4"/>
    </row>
    <row r="30" spans="1:12" ht="30" customHeight="1">
      <c r="A30" s="3" t="s">
        <v>43</v>
      </c>
      <c r="B30" s="13"/>
      <c r="C30" s="13"/>
      <c r="D30" s="14">
        <f>IF(AND(ISNUMBER(B30),ISNUMBER(C30),C30&lt;=B30),B30-C30,"")</f>
        <v/>
      </c>
      <c r="E30" s="4"/>
      <c r="F30" s="4"/>
      <c r="G30" s="4"/>
      <c r="H30" s="5"/>
      <c r="I30" s="5"/>
      <c r="J30" s="5"/>
      <c r="K30" s="4"/>
      <c r="L30" s="4"/>
    </row>
    <row r="31" spans="1:12" ht="30" customHeight="1">
      <c r="A31" s="3" t="s">
        <v>44</v>
      </c>
      <c r="B31" s="13"/>
      <c r="C31" s="13"/>
      <c r="D31" s="14">
        <f>IF(AND(ISNUMBER(B31),ISNUMBER(C31),C31&lt;=B31),B31-C31,"")</f>
        <v/>
      </c>
      <c r="E31" s="4"/>
      <c r="F31" s="4"/>
      <c r="G31" s="4"/>
      <c r="H31" s="5"/>
      <c r="I31" s="5"/>
      <c r="J31" s="5"/>
      <c r="K31" s="4"/>
      <c r="L31" s="4"/>
    </row>
    <row r="32" spans="1:12" ht="30" customHeight="1">
      <c r="A32" s="3" t="s">
        <v>45</v>
      </c>
      <c r="B32" s="13"/>
      <c r="C32" s="13"/>
      <c r="D32" s="14">
        <f>IF(AND(ISNUMBER(B32),ISNUMBER(C32),C32&lt;=B32),B32-C32,"")</f>
        <v/>
      </c>
      <c r="E32" s="4"/>
      <c r="F32" s="4"/>
      <c r="G32" s="4"/>
      <c r="H32" s="5"/>
      <c r="I32" s="5"/>
      <c r="J32" s="5"/>
      <c r="K32" s="4"/>
      <c r="L32" s="4"/>
    </row>
    <row r="33" spans="1:12" ht="30" customHeight="1">
      <c r="A33" s="3" t="s">
        <v>46</v>
      </c>
      <c r="B33" s="13"/>
      <c r="C33" s="13"/>
      <c r="D33" s="14">
        <f>IF(AND(ISNUMBER(B33),ISNUMBER(C33),C33&lt;=B33),B33-C33,"")</f>
        <v/>
      </c>
      <c r="E33" s="4"/>
      <c r="F33" s="4"/>
      <c r="G33" s="4"/>
      <c r="H33" s="5"/>
      <c r="I33" s="5"/>
      <c r="J33" s="5"/>
      <c r="K33" s="4"/>
      <c r="L33" s="4"/>
    </row>
    <row r="34" spans="1:12" ht="30" customHeight="1">
      <c r="A34" s="3" t="s">
        <v>47</v>
      </c>
      <c r="B34" s="13"/>
      <c r="C34" s="13"/>
      <c r="D34" s="14">
        <f>IF(AND(ISNUMBER(B34),ISNUMBER(C34),C34&lt;=B34),B34-C34,"")</f>
        <v/>
      </c>
      <c r="E34" s="4"/>
      <c r="F34" s="4"/>
      <c r="G34" s="4"/>
      <c r="H34" s="5"/>
      <c r="I34" s="5"/>
      <c r="J34" s="5"/>
      <c r="K34" s="4"/>
      <c r="L34" s="4"/>
    </row>
    <row r="35" spans="1:12" ht="30" customHeight="1">
      <c r="A35" s="3" t="s">
        <v>48</v>
      </c>
      <c r="B35" s="13"/>
      <c r="C35" s="13"/>
      <c r="D35" s="14">
        <f>IF(AND(ISNUMBER(B35),ISNUMBER(C35),C35&lt;=B35),B35-C35,"")</f>
        <v/>
      </c>
      <c r="E35" s="4"/>
      <c r="F35" s="4"/>
      <c r="G35" s="4"/>
      <c r="H35" s="5"/>
      <c r="I35" s="5"/>
      <c r="J35" s="5"/>
      <c r="K35" s="4"/>
      <c r="L35" s="4"/>
    </row>
    <row r="36" spans="1:12" ht="30" customHeight="1">
      <c r="A36" s="3" t="s">
        <v>49</v>
      </c>
      <c r="B36" s="13"/>
      <c r="C36" s="13"/>
      <c r="D36" s="14">
        <f>IF(AND(ISNUMBER(B36),ISNUMBER(C36),C36&lt;=B36),B36-C36,"")</f>
        <v/>
      </c>
      <c r="E36" s="4"/>
      <c r="F36" s="4"/>
      <c r="G36" s="4"/>
      <c r="H36" s="5"/>
      <c r="I36" s="5"/>
      <c r="J36" s="5"/>
      <c r="K36" s="4"/>
      <c r="L36" s="4"/>
    </row>
    <row r="37" spans="1:12" ht="30" customHeight="1">
      <c r="A37" s="3" t="s">
        <v>50</v>
      </c>
      <c r="B37" s="13"/>
      <c r="C37" s="13"/>
      <c r="D37" s="14">
        <f>IF(AND(ISNUMBER(B37),ISNUMBER(C37),C37&lt;=B37),B37-C37,"")</f>
        <v/>
      </c>
      <c r="E37" s="4"/>
      <c r="F37" s="4"/>
      <c r="G37" s="4"/>
      <c r="H37" s="5"/>
      <c r="I37" s="5"/>
      <c r="J37" s="5"/>
      <c r="K37" s="4"/>
      <c r="L37" s="4"/>
    </row>
    <row r="38" spans="1:12" ht="30" customHeight="1">
      <c r="A38" s="3" t="s">
        <v>51</v>
      </c>
      <c r="B38" s="13"/>
      <c r="C38" s="13"/>
      <c r="D38" s="14">
        <f>IF(AND(ISNUMBER(B38),ISNUMBER(C38),C38&lt;=B38),B38-C38,"")</f>
        <v/>
      </c>
      <c r="E38" s="4"/>
      <c r="F38" s="4"/>
      <c r="G38" s="4"/>
      <c r="H38" s="5"/>
      <c r="I38" s="5"/>
      <c r="J38" s="5"/>
      <c r="K38" s="4"/>
      <c r="L38" s="4"/>
    </row>
    <row r="39" spans="1:12" ht="30" customHeight="1">
      <c r="A39" s="3" t="s">
        <v>52</v>
      </c>
      <c r="B39" s="13"/>
      <c r="C39" s="13"/>
      <c r="D39" s="14">
        <f>IF(AND(ISNUMBER(B39),ISNUMBER(C39),C39&lt;=B39),B39-C39,"")</f>
        <v/>
      </c>
      <c r="E39" s="4"/>
      <c r="F39" s="4"/>
      <c r="G39" s="4"/>
      <c r="H39" s="5"/>
      <c r="I39" s="5"/>
      <c r="J39" s="5"/>
      <c r="K39" s="4"/>
      <c r="L39" s="4"/>
    </row>
    <row r="40" spans="1:12" ht="30" customHeight="1">
      <c r="A40" s="3" t="s">
        <v>53</v>
      </c>
      <c r="B40" s="13"/>
      <c r="C40" s="13"/>
      <c r="D40" s="14">
        <f>IF(AND(ISNUMBER(B40),ISNUMBER(C40),C40&lt;=B40),B40-C40,"")</f>
        <v/>
      </c>
      <c r="E40" s="4"/>
      <c r="F40" s="4"/>
      <c r="G40" s="4"/>
      <c r="H40" s="5"/>
      <c r="I40" s="5"/>
      <c r="J40" s="5"/>
      <c r="K40" s="4"/>
      <c r="L40" s="4"/>
    </row>
    <row r="41" spans="1:12" ht="25" customHeight="1">
      <c r="A41" s="7" t="s">
        <v>54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4" spans="1:12" ht="22" customHeight="1">
      <c r="A44" s="6" t="s">
        <v>55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ht="36" customHeight="1">
      <c r="A45" s="12" t="s">
        <v>56</v>
      </c>
      <c r="B45" s="12" t="s">
        <v>57</v>
      </c>
      <c r="C45" s="12" t="s">
        <v>10</v>
      </c>
      <c r="D45" s="12" t="s">
        <v>11</v>
      </c>
      <c r="E45" s="12" t="s">
        <v>12</v>
      </c>
      <c r="F45" s="12" t="s">
        <v>14</v>
      </c>
      <c r="G45" s="12"/>
      <c r="H45" s="12"/>
      <c r="I45" s="12"/>
      <c r="J45" s="12"/>
      <c r="K45" s="12"/>
      <c r="L45" s="12"/>
    </row>
    <row r="46" spans="1:12" ht="32" customHeight="1">
      <c r="A46" s="3" t="s">
        <v>58</v>
      </c>
      <c r="B46" s="13"/>
      <c r="C46" s="4"/>
      <c r="D46" s="4"/>
      <c r="E46" s="5"/>
      <c r="F46" s="4"/>
      <c r="G46" s="4"/>
      <c r="H46" s="4"/>
      <c r="I46" s="4"/>
      <c r="J46" s="4"/>
      <c r="K46" s="4"/>
      <c r="L46" s="4"/>
    </row>
    <row r="47" spans="1:12" ht="32" customHeight="1">
      <c r="A47" s="3" t="s">
        <v>59</v>
      </c>
      <c r="B47" s="13"/>
      <c r="C47" s="4"/>
      <c r="D47" s="4"/>
      <c r="E47" s="5"/>
      <c r="F47" s="4"/>
      <c r="G47" s="4"/>
      <c r="H47" s="4"/>
      <c r="I47" s="4"/>
      <c r="J47" s="4"/>
      <c r="K47" s="4"/>
      <c r="L47" s="4"/>
    </row>
    <row r="48" spans="1:12" ht="32" customHeight="1">
      <c r="A48" s="3" t="s">
        <v>60</v>
      </c>
      <c r="B48" s="13"/>
      <c r="C48" s="4"/>
      <c r="D48" s="4"/>
      <c r="E48" s="5"/>
      <c r="F48" s="4"/>
      <c r="G48" s="4"/>
      <c r="H48" s="4"/>
      <c r="I48" s="4"/>
      <c r="J48" s="4"/>
      <c r="K48" s="4"/>
      <c r="L48" s="4"/>
    </row>
    <row r="49" spans="1:12" ht="32" customHeight="1">
      <c r="A49" s="3" t="s">
        <v>61</v>
      </c>
      <c r="B49" s="13"/>
      <c r="C49" s="4"/>
      <c r="D49" s="4"/>
      <c r="E49" s="5"/>
      <c r="F49" s="4"/>
      <c r="G49" s="4"/>
      <c r="H49" s="4"/>
      <c r="I49" s="4"/>
      <c r="J49" s="4"/>
      <c r="K49" s="4"/>
      <c r="L49" s="4"/>
    </row>
    <row r="50" spans="1:12" ht="32" customHeight="1">
      <c r="A50" s="3" t="s">
        <v>62</v>
      </c>
      <c r="B50" s="13"/>
      <c r="C50" s="4"/>
      <c r="D50" s="4"/>
      <c r="E50" s="5"/>
      <c r="F50" s="4"/>
      <c r="G50" s="4"/>
      <c r="H50" s="4"/>
      <c r="I50" s="4"/>
      <c r="J50" s="4"/>
      <c r="K50" s="4"/>
      <c r="L50" s="4"/>
    </row>
    <row r="51" spans="1:12" ht="32" customHeight="1">
      <c r="A51" s="3" t="s">
        <v>63</v>
      </c>
      <c r="B51" s="13"/>
      <c r="C51" s="4"/>
      <c r="D51" s="4"/>
      <c r="E51" s="5"/>
      <c r="F51" s="4"/>
      <c r="G51" s="4"/>
      <c r="H51" s="4"/>
      <c r="I51" s="4"/>
      <c r="J51" s="4"/>
      <c r="K51" s="4"/>
      <c r="L51" s="4"/>
    </row>
    <row r="52" spans="1:12" ht="30" customHeight="1">
      <c r="A52" s="7" t="s">
        <v>64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4" spans="1:12" ht="22" customHeight="1">
      <c r="A54" s="6" t="s">
        <v>65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ht="36" customHeight="1">
      <c r="A55" s="12" t="s">
        <v>66</v>
      </c>
      <c r="B55" s="12" t="s">
        <v>67</v>
      </c>
      <c r="C55" s="12" t="s">
        <v>68</v>
      </c>
      <c r="D55" s="12" t="s">
        <v>69</v>
      </c>
      <c r="E55" s="12" t="s">
        <v>70</v>
      </c>
      <c r="F55" s="12" t="s">
        <v>10</v>
      </c>
      <c r="G55" s="12" t="s">
        <v>11</v>
      </c>
      <c r="H55" s="12" t="s">
        <v>12</v>
      </c>
      <c r="I55" s="12" t="s">
        <v>13</v>
      </c>
      <c r="J55" s="12" t="s">
        <v>14</v>
      </c>
      <c r="K55" s="12"/>
      <c r="L55" s="12"/>
    </row>
    <row r="56" spans="1:12" ht="36" customHeight="1">
      <c r="A56" s="3" t="s">
        <v>71</v>
      </c>
      <c r="B56" s="13"/>
      <c r="C56" s="13"/>
      <c r="D56" s="14">
        <f>IF(AND(ISNUMBER(B56),ISNUMBER(C56),C56&lt;=B56),B56-C56,"")</f>
        <v/>
      </c>
      <c r="E56" s="15">
        <f>IF(AND(ISNUMBER(C56),ISNUMBER(B56),B56&gt;0,C56&lt;=B56),C56/B56,"")</f>
        <v/>
      </c>
      <c r="F56" s="4"/>
      <c r="G56" s="4"/>
      <c r="H56" s="5"/>
      <c r="I56" s="5"/>
      <c r="J56" s="4"/>
      <c r="K56" s="4"/>
      <c r="L56" s="4"/>
    </row>
    <row r="57" spans="1:12" ht="30" customHeight="1">
      <c r="A57" s="7" t="s">
        <v>72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9" spans="1:12">
      <c r="A59" s="6" t="s">
        <v>73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>
      <c r="A60" s="7" t="s">
        <v>74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</sheetData>
  <mergeCells count="48">
    <mergeCell ref="A1:L2"/>
    <mergeCell ref="A3:L3"/>
    <mergeCell ref="A5:L5"/>
    <mergeCell ref="A12:L12"/>
    <mergeCell ref="A14:L14"/>
    <mergeCell ref="C15:F15"/>
    <mergeCell ref="K15:L15"/>
    <mergeCell ref="C16:F16"/>
    <mergeCell ref="K16:L16"/>
    <mergeCell ref="C17:F17"/>
    <mergeCell ref="K17:L17"/>
    <mergeCell ref="A18:L18"/>
    <mergeCell ref="A20:L20"/>
    <mergeCell ref="J21:L21"/>
    <mergeCell ref="J22:L22"/>
    <mergeCell ref="J23:L23"/>
    <mergeCell ref="J24:L24"/>
    <mergeCell ref="A25:L25"/>
    <mergeCell ref="A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A41:L41"/>
    <mergeCell ref="A44:L44"/>
    <mergeCell ref="F45:L45"/>
    <mergeCell ref="F46:L46"/>
    <mergeCell ref="F47:L47"/>
    <mergeCell ref="F48:L48"/>
    <mergeCell ref="F49:L49"/>
    <mergeCell ref="F50:L50"/>
    <mergeCell ref="F51:L51"/>
    <mergeCell ref="A52:L52"/>
    <mergeCell ref="A54:L54"/>
    <mergeCell ref="J55:L55"/>
    <mergeCell ref="J56:L56"/>
    <mergeCell ref="A57:L57"/>
    <mergeCell ref="A59:L59"/>
    <mergeCell ref="A60:L60"/>
  </mergeCells>
  <conditionalFormatting sqref="C10:D10">
    <cfRule type="expression" dxfId="0" priority="7">
      <formula>AND(ISNUMBER(C10),ISNUMBER(D10),D10&gt;C10)</formula>
    </cfRule>
  </conditionalFormatting>
  <conditionalFormatting sqref="C11:D11">
    <cfRule type="expression" dxfId="0" priority="8">
      <formula>AND(ISNUMBER(C11),ISNUMBER(D11),D11&gt;C11)</formula>
    </cfRule>
  </conditionalFormatting>
  <conditionalFormatting sqref="C22">
    <cfRule type="expression" dxfId="0" priority="9">
      <formula>AND(ISNUMBER(C22),ISNUMBER(B22),C22&gt;B22)</formula>
    </cfRule>
  </conditionalFormatting>
  <conditionalFormatting sqref="C23">
    <cfRule type="expression" dxfId="0" priority="10">
      <formula>AND(ISNUMBER(C23),ISNUMBER(B23),C23&gt;B23)</formula>
    </cfRule>
  </conditionalFormatting>
  <conditionalFormatting sqref="C24">
    <cfRule type="expression" dxfId="0" priority="11">
      <formula>AND(ISNUMBER(C24),ISNUMBER(B24),C24&gt;B24)</formula>
    </cfRule>
  </conditionalFormatting>
  <conditionalFormatting sqref="C29">
    <cfRule type="expression" dxfId="0" priority="12">
      <formula>AND(ISNUMBER(C29),ISNUMBER(B29),C29&gt;B29)</formula>
    </cfRule>
  </conditionalFormatting>
  <conditionalFormatting sqref="C30">
    <cfRule type="expression" dxfId="0" priority="13">
      <formula>AND(ISNUMBER(C30),ISNUMBER(B30),C30&gt;B30)</formula>
    </cfRule>
  </conditionalFormatting>
  <conditionalFormatting sqref="C31">
    <cfRule type="expression" dxfId="0" priority="14">
      <formula>AND(ISNUMBER(C31),ISNUMBER(B31),C31&gt;B31)</formula>
    </cfRule>
  </conditionalFormatting>
  <conditionalFormatting sqref="C32">
    <cfRule type="expression" dxfId="0" priority="15">
      <formula>AND(ISNUMBER(C32),ISNUMBER(B32),C32&gt;B32)</formula>
    </cfRule>
  </conditionalFormatting>
  <conditionalFormatting sqref="C33">
    <cfRule type="expression" dxfId="0" priority="16">
      <formula>AND(ISNUMBER(C33),ISNUMBER(B33),C33&gt;B33)</formula>
    </cfRule>
  </conditionalFormatting>
  <conditionalFormatting sqref="C34">
    <cfRule type="expression" dxfId="0" priority="17">
      <formula>AND(ISNUMBER(C34),ISNUMBER(B34),C34&gt;B34)</formula>
    </cfRule>
  </conditionalFormatting>
  <conditionalFormatting sqref="C35">
    <cfRule type="expression" dxfId="0" priority="18">
      <formula>AND(ISNUMBER(C35),ISNUMBER(B35),C35&gt;B35)</formula>
    </cfRule>
  </conditionalFormatting>
  <conditionalFormatting sqref="C36">
    <cfRule type="expression" dxfId="0" priority="19">
      <formula>AND(ISNUMBER(C36),ISNUMBER(B36),C36&gt;B36)</formula>
    </cfRule>
  </conditionalFormatting>
  <conditionalFormatting sqref="C37">
    <cfRule type="expression" dxfId="0" priority="20">
      <formula>AND(ISNUMBER(C37),ISNUMBER(B37),C37&gt;B37)</formula>
    </cfRule>
  </conditionalFormatting>
  <conditionalFormatting sqref="C38">
    <cfRule type="expression" dxfId="0" priority="21">
      <formula>AND(ISNUMBER(C38),ISNUMBER(B38),C38&gt;B38)</formula>
    </cfRule>
  </conditionalFormatting>
  <conditionalFormatting sqref="C39">
    <cfRule type="expression" dxfId="0" priority="22">
      <formula>AND(ISNUMBER(C39),ISNUMBER(B39),C39&gt;B39)</formula>
    </cfRule>
  </conditionalFormatting>
  <conditionalFormatting sqref="C40">
    <cfRule type="expression" dxfId="0" priority="23">
      <formula>AND(ISNUMBER(C40),ISNUMBER(B40),C40&gt;B40)</formula>
    </cfRule>
  </conditionalFormatting>
  <conditionalFormatting sqref="C56">
    <cfRule type="expression" dxfId="0" priority="24">
      <formula>AND(ISNUMBER(C56),ISNUMBER(B56),C56&gt;B56)</formula>
    </cfRule>
  </conditionalFormatting>
  <conditionalFormatting sqref="C7:D7">
    <cfRule type="expression" dxfId="0" priority="4">
      <formula>AND(ISNUMBER(C7),ISNUMBER(D7),D7&gt;C7)</formula>
    </cfRule>
  </conditionalFormatting>
  <conditionalFormatting sqref="C8:D8">
    <cfRule type="expression" dxfId="0" priority="5">
      <formula>AND(ISNUMBER(C8),ISNUMBER(D8),D8&gt;C8)</formula>
    </cfRule>
  </conditionalFormatting>
  <conditionalFormatting sqref="C9:D9">
    <cfRule type="expression" dxfId="0" priority="6">
      <formula>AND(ISNUMBER(C9),ISNUMBER(D9),D9&gt;C9)</formula>
    </cfRule>
  </conditionalFormatting>
  <conditionalFormatting sqref="E22:E24">
    <cfRule type="dataBar" priority="2">
      <dataBar>
        <cfvo type="num" val="0"/>
        <cfvo type="num" val="1"/>
        <color rgb="FF4BA6AA"/>
      </dataBar>
    </cfRule>
  </conditionalFormatting>
  <conditionalFormatting sqref="E56">
    <cfRule type="dataBar" priority="3">
      <dataBar>
        <cfvo type="num" val="0"/>
        <cfvo type="num" val="1"/>
        <color rgb="FF4BA6AA"/>
      </dataBar>
    </cfRule>
  </conditionalFormatting>
  <conditionalFormatting sqref="F7:G11">
    <cfRule type="dataBar" priority="1">
      <dataBar>
        <cfvo type="num" val="0"/>
        <cfvo type="num" val="1"/>
        <color rgb="FF4BA6AA"/>
      </dataBar>
    </cfRule>
  </conditionalFormatting>
  <dataValidations count="19">
    <dataValidation type="whole" operator="greaterThanOrEqual" allowBlank="1" showInputMessage="1" showErrorMessage="1" errorTitle="Nonnegative count required" error="Enter a confirmed whole number or leave blank." sqref="B7:D11">
      <formula1>0</formula1>
    </dataValidation>
    <dataValidation type="whole" operator="greaterThanOrEqual" allowBlank="1" showInputMessage="1" showErrorMessage="1" errorTitle="Nonnegative count required" error="Enter a confirmed whole number or leave blank." sqref="B16:B17">
      <formula1>0</formula1>
    </dataValidation>
    <dataValidation type="whole" operator="greaterThanOrEqual" allowBlank="1" showInputMessage="1" showErrorMessage="1" errorTitle="Nonnegative count required" error="Enter a confirmed whole number or leave blank." sqref="B22:C24">
      <formula1>0</formula1>
    </dataValidation>
    <dataValidation type="whole" operator="greaterThanOrEqual" allowBlank="1" showInputMessage="1" showErrorMessage="1" errorTitle="Nonnegative count required" error="Enter a confirmed whole number or leave blank." sqref="B29:C40">
      <formula1>0</formula1>
    </dataValidation>
    <dataValidation type="whole" operator="greaterThanOrEqual" allowBlank="1" showInputMessage="1" showErrorMessage="1" errorTitle="Nonnegative count required" error="Enter a confirmed whole number or leave blank." sqref="B46:B51">
      <formula1>0</formula1>
    </dataValidation>
    <dataValidation type="whole" operator="greaterThanOrEqual" allowBlank="1" showInputMessage="1" showErrorMessage="1" errorTitle="Nonnegative count required" error="Enter a confirmed whole number or leave blank." sqref="B56:C56">
      <formula1>0</formula1>
    </dataValidation>
    <dataValidation type="list" allowBlank="1" showInputMessage="1" showErrorMessage="1" sqref="H7:H11">
      <formula1>"Not Started,In Progress,Partially Completed,Completed,Pending Client Input,Pending Client Action,Pending SAIL Action,Pending Review,On Hold,Not Applicable"</formula1>
    </dataValidation>
    <dataValidation type="list" allowBlank="1" showInputMessage="1" showErrorMessage="1" sqref="G16:G17">
      <formula1>"Not Started,In Progress,Partially Completed,Completed,Pending Client Input,Pending Client Action,Pending SAIL Action,Pending Review,On Hold,Not Applicable"</formula1>
    </dataValidation>
    <dataValidation type="list" allowBlank="1" showInputMessage="1" showErrorMessage="1" sqref="F22:F24">
      <formula1>"Not Started,In Progress,Partially Completed,Completed,Pending Client Input,Pending Client Action,Pending SAIL Action,Pending Review,On Hold,Not Applicable"</formula1>
    </dataValidation>
    <dataValidation type="list" allowBlank="1" showInputMessage="1" showErrorMessage="1" sqref="E29:E40">
      <formula1>"Not Started,In Progress,Partially Completed,Completed,Pending Client Input,Pending Client Action,Pending SAIL Action,Pending Review,On Hold,Not Applicable"</formula1>
    </dataValidation>
    <dataValidation type="list" allowBlank="1" showInputMessage="1" showErrorMessage="1" sqref="C46:C51">
      <formula1>"Not Started,In Progress,Partially Completed,Completed,Pending Client Input,Pending Client Action,Pending SAIL Action,Pending Review,On Hold,Not Applicable"</formula1>
    </dataValidation>
    <dataValidation type="list" allowBlank="1" showInputMessage="1" showErrorMessage="1" sqref="F56">
      <formula1>"Not Started,In Progress,Partially Completed,Completed,Pending Client Input,Pending Client Action,Pending SAIL Action,Pending Review,On Hold,Not Applicable"</formula1>
    </dataValidation>
    <dataValidation type="list" allowBlank="1" showInputMessage="1" showErrorMessage="1" sqref="F29:F40">
      <formula1>"High,Medium,Low"</formula1>
    </dataValidation>
    <dataValidation type="date" allowBlank="1" showInputMessage="1" showErrorMessage="1" sqref="J7:K11">
      <formula1>1900-01-01</formula1>
      <formula2>2100-12-31</formula2>
    </dataValidation>
    <dataValidation type="date" allowBlank="1" showInputMessage="1" showErrorMessage="1" sqref="I16:J17">
      <formula1>1900-01-01</formula1>
      <formula2>2100-12-31</formula2>
    </dataValidation>
    <dataValidation type="date" allowBlank="1" showInputMessage="1" showErrorMessage="1" sqref="H22:I24">
      <formula1>1900-01-01</formula1>
      <formula2>2100-12-31</formula2>
    </dataValidation>
    <dataValidation type="date" allowBlank="1" showInputMessage="1" showErrorMessage="1" sqref="H29:J40">
      <formula1>1900-01-01</formula1>
      <formula2>2100-12-31</formula2>
    </dataValidation>
    <dataValidation type="date" allowBlank="1" showInputMessage="1" showErrorMessage="1" sqref="E46:E51">
      <formula1>1900-01-01</formula1>
      <formula2>2100-12-31</formula2>
    </dataValidation>
    <dataValidation type="date" allowBlank="1" showInputMessage="1" showErrorMessage="1" sqref="H56:I56">
      <formula1>1900-01-01</formula1>
      <formula2>2100-12-31</formula2>
    </dataValidation>
  </dataValidations>
  <pageMargins left="0.3" right="0.3" top="0.45" bottom="0.45" header="0.3" footer="0.3"/>
  <pageSetup fitToHeight="0" orientation="landscape"/>
  <headerFooter>
    <oddFooter>&amp;CSAIL PMS • Update Tracker     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Dashboard</vt:lpstr>
      <vt:lpstr>Update Tracker</vt:lpstr>
      <vt:lpstr>Dashboard!Print_Area</vt:lpstr>
      <vt:lpstr>'Update Tracker'!Print_Area</vt:lpstr>
      <vt:lpstr>'Update Tracker'!Print_Titles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SAIL PMS Project Progress Report</dc:title>
  <dc:subject>Editable stakeholder update; no unverified operational values</dc:subject>
  <dc:creator/>
  <dc:description>Source categories: supplied SAIL weekly tracker, PMS data building quantification and report brief.</dc:description>
  <cp:lastModifiedBy/>
  <dcterms:created xsi:type="dcterms:W3CDTF">2026-09-29T10:06:55Z</dcterms:created>
  <dcterms:modified xsi:type="dcterms:W3CDTF">2026-09-29T10:06:55Z</dcterms:modified>
</cp:coreProperties>
</file>