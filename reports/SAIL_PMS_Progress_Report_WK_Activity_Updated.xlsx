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pdate Tracker" sheetId="2" state="visible" r:id="rId2"/>
  </sheets>
  <definedNames>
    <definedName name="_xlnm.Print_Area" localSheetId="0">'Dashboard'!$A$1:$R$40</definedName>
    <definedName name="_xlnm.Print_Titles" localSheetId="1">'Update Tracker'!$1:$4</definedName>
    <definedName name="_xlnm.Print_Area" localSheetId="1">'Update Tracker'!$A$1:$K$60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\ mmm\ yyyy"/>
    <numFmt numFmtId="165" formatCode="0.0%"/>
    <numFmt numFmtId="166" formatCode="#,##0;[Red]\(#,##0\);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color rgb="FF657989"/>
      <sz val="10"/>
      <scheme val="minor"/>
    </font>
    <font>
      <name val="Calibri"/>
      <family val="2"/>
      <b val="1"/>
      <color rgb="FF263B4A"/>
      <sz val="11"/>
      <scheme val="minor"/>
    </font>
    <font>
      <name val="Calibri"/>
      <family val="2"/>
      <color rgb="FF263B4A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i val="1"/>
      <color rgb="FF657989"/>
      <sz val="9"/>
      <scheme val="minor"/>
    </font>
    <font>
      <name val="Calibri"/>
      <family val="2"/>
      <b val="1"/>
      <color rgb="FF3F8791"/>
      <sz val="14"/>
      <scheme val="minor"/>
    </font>
    <font>
      <name val="Calibri"/>
      <family val="2"/>
      <color rgb="FF23465F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3465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3F8791"/>
        <bgColor indexed="64"/>
      </patternFill>
    </fill>
    <fill>
      <patternFill patternType="solid">
        <fgColor rgb="FFEDF4F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CE7ED"/>
      </bottom>
      <diagonal/>
    </border>
    <border>
      <left/>
      <right/>
      <top/>
      <bottom style="thin">
        <color rgb="FFE8DBC0"/>
      </bottom>
      <diagonal/>
    </border>
    <border>
      <left style="thin">
        <color rgb="FFE8DBC0"/>
      </left>
      <right style="thin">
        <color rgb="FFE8DBC0"/>
      </right>
      <top style="thin">
        <color rgb="FFE8DBC0"/>
      </top>
      <bottom style="thin">
        <color rgb="FFE8DB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1E5E7"/>
      </bottom>
      <diagonal/>
    </border>
    <border>
      <left/>
      <right/>
      <top style="thin">
        <color rgb="FFE8DBC0"/>
      </top>
      <bottom/>
      <diagonal/>
    </border>
    <border>
      <left style="thin">
        <color rgb="FFE8DBC0"/>
      </left>
      <right/>
      <top/>
      <bottom/>
      <diagonal/>
    </border>
    <border>
      <left/>
      <right style="thin">
        <color rgb="FFE8DBC0"/>
      </right>
      <top style="thin">
        <color rgb="FFE8DBC0"/>
      </top>
      <bottom/>
      <diagonal/>
    </border>
    <border>
      <left/>
      <right style="thin">
        <color rgb="FFE8DBC0"/>
      </right>
      <top/>
      <bottom/>
      <diagonal/>
    </border>
    <border>
      <left style="thin">
        <color rgb="FFE8DBC0"/>
      </left>
      <right/>
      <top/>
      <bottom style="thin">
        <color rgb="FFE8DBC0"/>
      </bottom>
      <diagonal/>
    </border>
    <border>
      <left/>
      <right style="thin">
        <color rgb="FFE8DBC0"/>
      </right>
      <top/>
      <bottom style="thin">
        <color rgb="FFE8DBC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164" fontId="4" fillId="4" borderId="2" pivotButton="0" quotePrefix="0" xfId="0"/>
    <xf numFmtId="0" fontId="6" fillId="0" borderId="0" applyAlignment="1" pivotButton="0" quotePrefix="0" xfId="0">
      <alignment vertical="center" wrapText="1"/>
    </xf>
    <xf numFmtId="165" fontId="7" fillId="6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center" vertical="center"/>
    </xf>
    <xf numFmtId="0" fontId="5" fillId="2" borderId="4" applyAlignment="1" pivotButton="0" quotePrefix="0" xfId="0">
      <alignment vertical="center" wrapText="1"/>
    </xf>
    <xf numFmtId="3" fontId="4" fillId="4" borderId="2" pivotButton="0" quotePrefix="0" xfId="0"/>
    <xf numFmtId="14" fontId="4" fillId="4" borderId="2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3" fontId="4" fillId="4" borderId="2" applyAlignment="1" pivotButton="0" quotePrefix="0" xfId="0">
      <alignment vertical="center"/>
    </xf>
    <xf numFmtId="166" fontId="8" fillId="6" borderId="5" applyAlignment="1" pivotButton="0" quotePrefix="0" xfId="0">
      <alignment vertical="center"/>
    </xf>
    <xf numFmtId="165" fontId="8" fillId="6" borderId="5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0" fillId="0" borderId="2" pivotButton="0" quotePrefix="0" xfId="0"/>
    <xf numFmtId="0" fontId="5" fillId="5" borderId="0" applyAlignment="1" pivotButton="0" quotePrefix="0" xfId="0">
      <alignment vertical="center"/>
    </xf>
    <xf numFmtId="0" fontId="0" fillId="0" borderId="0" pivotButton="0" quotePrefix="0" xfId="0"/>
    <xf numFmtId="0" fontId="4" fillId="4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14" fontId="4" fillId="4" borderId="2" applyAlignment="1" pivotButton="0" quotePrefix="0" xfId="0">
      <alignment horizontal="left" vertical="top" wrapText="1"/>
    </xf>
    <xf numFmtId="0" fontId="2" fillId="3" borderId="0" applyAlignment="1" pivotButton="0" quotePrefix="0" xfId="0">
      <alignment vertical="center" wrapText="1"/>
    </xf>
    <xf numFmtId="0" fontId="4" fillId="4" borderId="2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7" pivotButton="0" quotePrefix="0" xfId="0"/>
    <xf numFmtId="0" fontId="0" fillId="0" borderId="9" pivotButton="0" quotePrefix="0" xfId="0"/>
    <xf numFmtId="0" fontId="5" fillId="2" borderId="4" applyAlignment="1" pivotButton="0" quotePrefix="0" xfId="0">
      <alignment vertical="center" wrapText="1"/>
    </xf>
    <xf numFmtId="0" fontId="0" fillId="0" borderId="13" pivotButton="0" quotePrefix="0" xfId="0"/>
    <xf numFmtId="0" fontId="0" fillId="0" borderId="12" pivotButton="0" quotePrefix="0" xfId="0"/>
    <xf numFmtId="0" fontId="0" fillId="0" borderId="0" applyAlignment="1" pivotButton="0" quotePrefix="0" xfId="0">
      <alignment vertical="center" wrapText="1"/>
    </xf>
    <xf numFmtId="9" fontId="7" fillId="6" borderId="0" applyAlignment="1" pivotButton="0" quotePrefix="0" xfId="0">
      <alignment horizontal="center" vertical="center"/>
    </xf>
    <xf numFmtId="9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9" fontId="8" fillId="6" borderId="5" applyAlignment="1" pivotButton="0" quotePrefix="0" xfId="0">
      <alignment horizontal="center" vertical="center"/>
    </xf>
  </cellXfs>
  <cellStyles count="1">
    <cellStyle name="Normal" xfId="0" builtinId="0"/>
  </cellStyles>
  <dxfs count="6"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WK activities by status</a:t>
            </a:r>
          </a:p>
        </rich>
      </tx>
    </title>
    <plotArea>
      <layout/>
      <pieChart>
        <varyColors val="1"/>
        <ser>
          <idx val="0"/>
          <order val="0"/>
          <tx>
            <v>Client-side activities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9D9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3AD5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99BA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C9DCE5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 baseline="0">
                    <a:solidFill>
                      <a:srgbClr val="23465F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0"/>
          </dLbls>
          <cat>
            <strRef>
              <f>Dashboard!$U$2:$U$5</f>
              <strCache>
                <ptCount val="4"/>
                <pt idx="0">
                  <v>Completed</v>
                </pt>
                <pt idx="1">
                  <v>Open</v>
                </pt>
                <pt idx="2">
                  <v>Not Applicable</v>
                </pt>
                <pt idx="3">
                  <v>Not assessed</v>
                </pt>
              </strCache>
            </strRef>
          </cat>
          <val>
            <numRef>
              <f>Dashboard!$V$2:$V$5</f>
              <numCache>
                <formatCode>General</formatCode>
                <ptCount val="4"/>
                <pt idx="0">
                  <v>0</v>
                </pt>
                <pt idx="1">
                  <v>12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 sz="900" baseline="0">
              <a:solidFill>
                <a:srgbClr val="657989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baseline="0">
                <a:solidFill>
                  <a:srgbClr val="23465F"/>
                </a:solidFill>
                <a:latin typeface="Calibri"/>
              </a:defRPr>
            </a:pPr>
            <a:r>
              <a:rPr lang="en-US" sz="1100" b="1" baseline="0">
                <a:solidFill>
                  <a:srgbClr val="23465F"/>
                </a:solidFill>
                <a:latin typeface="Calibri"/>
              </a:rPr>
              <a:t>Critical items received vs not received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Dashboard!$Y$1</f>
              <strCache>
                <ptCount val="1"/>
                <pt idx="0">
                  <v>Received</v>
                </pt>
              </strCache>
            </strRef>
          </tx>
          <spPr>
            <a:solidFill xmlns:a="http://schemas.openxmlformats.org/drawingml/2006/main">
              <a:srgbClr val="4E9D91"/>
            </a:solidFill>
            <a:ln xmlns:a="http://schemas.openxmlformats.org/drawingml/2006/main">
              <a:solidFill>
                <a:srgbClr val="4E9D91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Dashboard!$Y$2:$Y$4</f>
              <numCache>
                <formatCode>General</formatCode>
                <ptCount val="3"/>
                <pt idx="0">
                  <v>50</v>
                </pt>
                <pt idx="1">
                  <v>0</v>
                </pt>
                <pt idx="2">
                  <v>50</v>
                </pt>
              </numCache>
            </numRef>
          </val>
        </ser>
        <ser>
          <idx val="1"/>
          <order val="1"/>
          <tx>
            <strRef>
              <f>Dashboard!$Z$1</f>
              <strCache>
                <ptCount val="1"/>
                <pt idx="0">
                  <v>Not received</v>
                </pt>
              </strCache>
            </strRef>
          </tx>
          <spPr>
            <a:solidFill xmlns:a="http://schemas.openxmlformats.org/drawingml/2006/main">
              <a:srgbClr val="C9DCE5"/>
            </a:solidFill>
            <a:ln xmlns:a="http://schemas.openxmlformats.org/drawingml/2006/main">
              <a:solidFill>
                <a:srgbClr val="C9DCE5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Dashboard!$Z$2:$Z$4</f>
              <numCache>
                <formatCode>General</formatCode>
                <ptCount val="3"/>
                <pt idx="0">
                  <v>0</v>
                </pt>
                <pt idx="1">
                  <v>50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20001"/>
        <axId val="50020002"/>
      </barChart>
      <catAx>
        <axId val="50020001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Critical category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>None</a:t>
            </a:r>
            <a:endParaRPr lang="en-US"/>
          </a:p>
        </txPr>
        <crossAx val="50020002"/>
        <crosses val="autoZero"/>
        <auto val="1"/>
        <lblAlgn val="ctr"/>
        <lblOffset val="100"/>
        <noMultiLvlLbl val="0"/>
      </catAx>
      <valAx>
        <axId val="5002000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 of items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>None</a:t>
            </a:r>
            <a:endParaRPr lang="en-US"/>
          </a:p>
        </txPr>
        <crossAx val="50020001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aseline="0">
              <a:solidFill>
                <a:srgbClr val="657989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omments/comment1.xml><?xml version="1.0" encoding="utf-8"?>
<comments xmlns="http://schemas.openxmlformats.org/spreadsheetml/2006/main">
  <authors>
    <author>Workbook note</author>
    <author>Replit Agent</author>
  </authors>
  <commentList>
    <comment ref="AA6" authorId="0" shapeId="0">
      <text>
        <t>Hidden rough-estimate denominators used by the weighted progress formulas. Update only when the baseline is confirmed.</t>
      </text>
    </comment>
    <comment ref="M21" authorId="1" shapeId="0">
      <text>
        <t>Existing estimated critical-item baselines retained only for the receipt KPI and chart; not displayed or printed.</t>
      </text>
    </comment>
    <comment ref="AA21" authorId="0" shapeId="0">
      <text>
        <t>Hidden rough-estimate denominators used by the critical-item formulas. Update only when the baseline is confirmed.</t>
      </text>
    </comment>
    <comment ref="M22" authorId="1" shapeId="0">
      <text>
        <t>Existing baseline retained for critical receipt calculations; confirm with WK before treating as final.</t>
      </text>
    </comment>
    <comment ref="M23" authorId="1" shapeId="0">
      <text>
        <t>Existing baseline retained for critical receipt calculations; confirm with WK before treating as final.</t>
      </text>
    </comment>
    <comment ref="M24" authorId="1" shapeId="0">
      <text>
        <t>Existing baseline retained for critical receipt calculations; confirm with WK before treating as final.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9</col>
      <colOff>47625</colOff>
      <row>8</row>
      <rowOff>47625</rowOff>
    </from>
    <to>
      <col>14</col>
      <colOff>714375</colOff>
      <row>17</row>
      <rowOff>238125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47625</colOff>
      <row>20</row>
      <rowOff>28575</rowOff>
    </from>
    <to>
      <col>14</col>
      <colOff>714375</colOff>
      <row>28</row>
      <rowOff>85725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3F8791"/>
    <outlinePr summaryBelow="1" summaryRight="1"/>
    <pageSetUpPr fitToPage="1"/>
  </sheetPr>
  <dimension ref="A1:Z39"/>
  <sheetViews>
    <sheetView showGridLines="0" zoomScale="90" zoomScaleNormal="85" workbookViewId="0">
      <pane ySplit="8" topLeftCell="A9" activePane="bottomLeft" state="frozen"/>
      <selection pane="bottomLeft" activeCell="J4" sqref="J4"/>
    </sheetView>
  </sheetViews>
  <sheetFormatPr baseColWidth="8" defaultRowHeight="14.4"/>
  <cols>
    <col width="4.6640625" customWidth="1" style="17" min="1" max="1"/>
    <col width="27.6640625" customWidth="1" style="17" min="2" max="2"/>
    <col width="17.6640625" customWidth="1" style="17" min="3" max="3"/>
    <col width="18.6640625" customWidth="1" style="17" min="4" max="4"/>
    <col width="4.6640625" customWidth="1" style="17" min="5" max="5"/>
    <col width="5.6640625" customWidth="1" style="17" min="6" max="6"/>
    <col width="29.6640625" customWidth="1" style="17" min="7" max="7"/>
    <col width="17.6640625" customWidth="1" style="17" min="8" max="9"/>
    <col width="12.33203125" customWidth="1" style="17" min="10" max="18"/>
    <col hidden="1" width="16.6640625" customWidth="1" style="17" min="21" max="21"/>
    <col hidden="1" width="13" customWidth="1" style="17" min="22" max="26"/>
  </cols>
  <sheetData>
    <row r="1" ht="25.05" customHeight="1" s="17">
      <c r="A1" s="26" t="inlineStr">
        <is>
          <t>SAIL PMS  |  IMPLEMENTATION PROGRESS</t>
        </is>
      </c>
      <c r="U1" t="inlineStr">
        <is>
          <t>WK activity status</t>
        </is>
      </c>
      <c r="V1" t="inlineStr">
        <is>
          <t>Count</t>
        </is>
      </c>
      <c r="X1" t="inlineStr">
        <is>
          <t>Critical category</t>
        </is>
      </c>
      <c r="Y1" t="inlineStr">
        <is>
          <t>Received</t>
        </is>
      </c>
      <c r="Z1" t="inlineStr">
        <is>
          <t>Not received</t>
        </is>
      </c>
    </row>
    <row r="2" ht="34.05" customHeight="1" s="17">
      <c r="U2" t="inlineStr">
        <is>
          <t>Yes</t>
        </is>
      </c>
      <c r="V2">
        <f>COUNTIF('Update Tracker'!$D$29:$D$41,"Yes")</f>
        <v/>
      </c>
      <c r="X2" t="inlineStr">
        <is>
          <t>Components</t>
        </is>
      </c>
      <c r="Y2">
        <f>IF(ISNUMBER('Update Tracker'!B22),'Update Tracker'!B22,"")</f>
        <v/>
      </c>
      <c r="Z2">
        <f>IF(ISNUMBER('Update Tracker'!D22),'Update Tracker'!D22,"")</f>
        <v/>
      </c>
    </row>
    <row r="3" ht="28.05" customHeight="1" s="17">
      <c r="A3" s="24" t="inlineStr">
        <is>
          <t>SAIL uploads data received from WK; remaining inputs and verification are with the Wah Kwong / WK Team.</t>
        </is>
      </c>
      <c r="U3" t="inlineStr">
        <is>
          <t>In Progress</t>
        </is>
      </c>
      <c r="V3">
        <f>COUNTIF('Update Tracker'!$D$29:$D$41,"In Progress")</f>
        <v/>
      </c>
      <c r="X3" t="inlineStr">
        <is>
          <t>Spares</t>
        </is>
      </c>
      <c r="Y3">
        <f>IF(ISNUMBER('Update Tracker'!B23),'Update Tracker'!B23,"")</f>
        <v/>
      </c>
      <c r="Z3">
        <f>IF(ISNUMBER('Update Tracker'!D23),'Update Tracker'!D23,"")</f>
        <v/>
      </c>
    </row>
    <row r="4">
      <c r="U4" t="inlineStr">
        <is>
          <t>N</t>
        </is>
      </c>
      <c r="V4">
        <f>COUNTIF('Update Tracker'!$D$29:$D$41,"N")</f>
        <v/>
      </c>
      <c r="X4" t="inlineStr">
        <is>
          <t>Jobs</t>
        </is>
      </c>
      <c r="Y4">
        <f>IF(ISNUMBER('Update Tracker'!B24),'Update Tracker'!B24,"")</f>
        <v/>
      </c>
      <c r="Z4">
        <f>IF(ISNUMBER('Update Tracker'!D24),'Update Tracker'!D24,"")</f>
        <v/>
      </c>
    </row>
    <row r="5">
      <c r="B5" s="1" t="inlineStr">
        <is>
          <t>Reporting period</t>
        </is>
      </c>
      <c r="C5" s="23" t="n">
        <v>46294</v>
      </c>
      <c r="D5" s="15" t="n"/>
      <c r="G5" s="1" t="inlineStr">
        <is>
          <t>Last updated</t>
        </is>
      </c>
      <c r="H5" s="23" t="n">
        <v>46294</v>
      </c>
      <c r="I5" s="15" t="n"/>
      <c r="U5" t="inlineStr">
        <is>
          <t>Not assessed</t>
        </is>
      </c>
      <c r="V5">
        <f>COUNTA('Update Tracker'!$A$29:$A$41)-COUNTA('Update Tracker'!$D$29:$D$41)</f>
        <v/>
      </c>
    </row>
    <row r="6">
      <c r="B6" s="1" t="inlineStr">
        <is>
          <t>Responsible person</t>
        </is>
      </c>
      <c r="C6" s="14" t="inlineStr">
        <is>
          <t>Jeevan</t>
        </is>
      </c>
      <c r="D6" s="15" t="n"/>
      <c r="G6" s="1" t="inlineStr">
        <is>
          <t>Reporting to / audience</t>
        </is>
      </c>
      <c r="H6" s="25" t="inlineStr">
        <is>
          <t>Wah Kwong Team</t>
        </is>
      </c>
      <c r="I6" s="15" t="n"/>
    </row>
    <row r="8">
      <c r="B8" s="16" t="inlineStr">
        <is>
          <t>SAIL TEAM  /  DELIVERY</t>
        </is>
      </c>
      <c r="G8" s="16" t="inlineStr">
        <is>
          <t>WK TEAM  /  ACTIONS TO CONFIRM</t>
        </is>
      </c>
      <c r="J8" s="16" t="inlineStr">
        <is>
          <t>WK ACTIVITY STATUS</t>
        </is>
      </c>
    </row>
    <row r="10" ht="34.05" customHeight="1" s="17">
      <c r="B10" s="1" t="inlineStr">
        <is>
          <t>Data received from WK (weighted)</t>
        </is>
      </c>
      <c r="C10" s="28" t="inlineStr">
        <is>
          <t>30 / 30 / 30 / 10</t>
        </is>
      </c>
      <c r="D10" s="5">
        <f>IF(AND(COUNT('Update Tracker'!AA7:AA10)=4,COUNT('Update Tracker'!B7:B10)=4,COUNTIF('Update Tracker'!AA7:AA10,"&gt;0")&gt;0,SUMPRODUCT(--('Update Tracker'!B7:B10&gt;=0))=4,SUMPRODUCT(--('Update Tracker'!B7:B10&lt;='Update Tracker'!AA7:AA10))=4),(0.3*IF('Update Tracker'!AA7&gt;0,'Update Tracker'!B7/'Update Tracker'!AA7,0)+0.3*IF('Update Tracker'!AA8&gt;0,'Update Tracker'!B8/'Update Tracker'!AA8,0)+0.3*IF('Update Tracker'!AA9&gt;0,'Update Tracker'!B9/'Update Tracker'!AA9,0)+0.1*IF('Update Tracker'!AA10&gt;0,'Update Tracker'!B10/'Update Tracker'!AA10,0))/(0.3*--('Update Tracker'!AA7&gt;0)+0.3*--('Update Tracker'!AA8&gt;0)+0.3*--('Update Tracker'!AA9&gt;0)+0.1*--('Update Tracker'!AA10&gt;0)),"")</f>
        <v/>
      </c>
      <c r="G10" s="1" t="inlineStr">
        <is>
          <t>Weighted progress</t>
        </is>
      </c>
      <c r="I10" s="35">
        <f>IF(COUNTIFS('Update Tracker'!$C$29:$C$41,"&gt;0",'Update Tracker'!$D$29:$D$41,"&lt;&gt;")=0,"",SUM('Update Tracker'!$E$29:$E$41)/SUM('Update Tracker'!$C$29:$C$41))</f>
        <v/>
      </c>
    </row>
    <row r="12" ht="34.05" customHeight="1" s="17">
      <c r="B12" s="1" t="inlineStr">
        <is>
          <t>Data loaded by SAIL (weighted)</t>
        </is>
      </c>
      <c r="C12" s="28" t="inlineStr">
        <is>
          <t>30 / 30 / 30 / 10</t>
        </is>
      </c>
      <c r="D12" s="5">
        <f>IF(AND(COUNT('Update Tracker'!AA7:AA10)=4,COUNT('Update Tracker'!B7:B10)=4,COUNTIF('Update Tracker'!AA7:AA10,"&gt;0")&gt;0,SUMPRODUCT(--('Update Tracker'!B7:B10&gt;=0))=4,SUMPRODUCT(--('Update Tracker'!B7:B10&lt;='Update Tracker'!AA7:AA10))=4,COUNT('Update Tracker'!C7:C10)=4,SUMPRODUCT(--('Update Tracker'!C7:C10&gt;=0))=4,SUMPRODUCT(--('Update Tracker'!C7:C10&lt;='Update Tracker'!B7:B10))=4),(0.3*IF('Update Tracker'!AA7&gt;0,'Update Tracker'!C7/'Update Tracker'!AA7,0)+0.3*IF('Update Tracker'!AA8&gt;0,'Update Tracker'!C8/'Update Tracker'!AA8,0)+0.3*IF('Update Tracker'!AA9&gt;0,'Update Tracker'!C9/'Update Tracker'!AA9,0)+0.1*IF('Update Tracker'!AA10&gt;0,'Update Tracker'!C10/'Update Tracker'!AA10,0))/(0.3*--('Update Tracker'!AA7&gt;0)+0.3*--('Update Tracker'!AA8&gt;0)+0.3*--('Update Tracker'!AA9&gt;0)+0.1*--('Update Tracker'!AA10&gt;0)),"")</f>
        <v/>
      </c>
      <c r="G12" s="1" t="inlineStr">
        <is>
          <t>Completed (Yes)</t>
        </is>
      </c>
      <c r="I12" s="6">
        <f>COUNTIF('Update Tracker'!$D$29:$D$41,"Yes")</f>
        <v/>
      </c>
    </row>
    <row r="14" ht="34.05" customHeight="1" s="17">
      <c r="B14" s="1" t="inlineStr">
        <is>
          <t>Components missing jobs</t>
        </is>
      </c>
      <c r="C14" s="28" t="inlineStr">
        <is>
          <t>Components affected</t>
        </is>
      </c>
      <c r="D14" s="6">
        <f>IF(ISNUMBER('Update Tracker'!B16),'Update Tracker'!B16,"")</f>
        <v/>
      </c>
      <c r="G14" s="1" t="inlineStr">
        <is>
          <t>Open / incomplete</t>
        </is>
      </c>
      <c r="I14" s="6">
        <f>COUNTIF('Update Tracker'!$D$29:$D$41,"In Progress")+COUNTIF('Update Tracker'!$D$29:$D$41,"N")</f>
        <v/>
      </c>
    </row>
    <row r="16" ht="34.05" customHeight="1" s="17">
      <c r="B16" s="1" t="inlineStr">
        <is>
          <t>Components missing spares</t>
        </is>
      </c>
      <c r="C16" s="28" t="inlineStr">
        <is>
          <t>Components affected</t>
        </is>
      </c>
      <c r="D16" s="6">
        <f>IF(ISNUMBER('Update Tracker'!B17),'Update Tracker'!B17,"")</f>
        <v/>
      </c>
      <c r="G16" s="1" t="inlineStr">
        <is>
          <t>Not assessed</t>
        </is>
      </c>
      <c r="I16" s="6">
        <f>COUNTA('Update Tracker'!$A$29:$A$41)-COUNTIF('Update Tracker'!$D$29:$D$41,"Yes")-COUNTIF('Update Tracker'!$D$29:$D$41,"In Progress")-COUNTIF('Update Tracker'!$D$29:$D$41,"N")</f>
        <v/>
      </c>
    </row>
    <row r="18" ht="34" customHeight="1" s="17">
      <c r="B18" s="1" t="inlineStr">
        <is>
          <t>Critical data received</t>
        </is>
      </c>
      <c r="C18" s="28" t="inlineStr">
        <is>
          <t>Received / estimated baseline</t>
        </is>
      </c>
      <c r="D18" s="5">
        <f>IF(AND(COUNT('Update Tracker'!AA22:AA24)=3,COUNT('Update Tracker'!B22:B24)=3,COUNTIF('Update Tracker'!AA22:AA24,"&gt;0")=3,SUMPRODUCT(--('Update Tracker'!B22:B24&gt;=0))=3,SUMPRODUCT(--('Update Tracker'!B22:B24&lt;='Update Tracker'!AA22:AA24))=3),SUM('Update Tracker'!B22:B24)/SUM('Update Tracker'!AA22:AA24),"")</f>
        <v/>
      </c>
      <c r="G18" s="27" t="inlineStr">
        <is>
          <t>Score: Yes = 100% of weight; In Progress = 50%; N = 0%. Blank means not assessed.</t>
        </is>
      </c>
    </row>
    <row r="20" ht="34.05" customHeight="1" s="17">
      <c r="B20" s="1" t="inlineStr">
        <is>
          <t>WOs generated till now</t>
        </is>
      </c>
      <c r="C20" s="28" t="inlineStr">
        <is>
          <t>Cumulative count</t>
        </is>
      </c>
      <c r="D20" s="6">
        <f>IF(ISNUMBER('Update Tracker'!B46),'Update Tracker'!B46,"")</f>
        <v/>
      </c>
      <c r="G20" s="16" t="inlineStr">
        <is>
          <t>CLIENT STATUS / REMARKS</t>
        </is>
      </c>
      <c r="J20" s="16" t="inlineStr">
        <is>
          <t>CRITICAL ITEMS  /  RECEIPT</t>
        </is>
      </c>
    </row>
    <row r="21">
      <c r="G21" s="18" t="inlineStr">
        <is>
          <t>SAIL Team scope: upload data received from WK. WK Team owns source-data verification, required inputs, reviews and decisions.</t>
        </is>
      </c>
      <c r="H21" s="19" t="n"/>
      <c r="I21" s="20" t="n"/>
    </row>
    <row r="22" ht="34.05" customHeight="1" s="17">
      <c r="B22" s="1" t="inlineStr">
        <is>
          <t>RH machinery updated</t>
        </is>
      </c>
      <c r="C22" s="28" t="inlineStr">
        <is>
          <t>Vessel updated / created</t>
        </is>
      </c>
      <c r="D22" s="5">
        <f>IF(ISNUMBER('Update Tracker'!E56),'Update Tracker'!E56,"")</f>
        <v/>
      </c>
      <c r="G22" s="29" t="n"/>
      <c r="I22" s="30" t="n"/>
    </row>
    <row r="23" ht="24" customHeight="1" s="17">
      <c r="B23" s="27" t="inlineStr">
        <is>
          <t>WO status counts can overlap. Repeated cycles can produce several WOs per job; no jobs-based percentage.</t>
        </is>
      </c>
      <c r="G23" s="21" t="n"/>
      <c r="H23" s="15" t="n"/>
      <c r="I23" s="22" t="n"/>
    </row>
    <row r="24" ht="24" customHeight="1" s="17"/>
    <row r="25">
      <c r="B25" s="16" t="inlineStr">
        <is>
          <t>REPORTING NOTES  /  EDITABLE</t>
        </is>
      </c>
    </row>
    <row r="26" ht="27" customHeight="1" s="17">
      <c r="B26" s="1" t="inlineStr">
        <is>
          <t>Key completed points</t>
        </is>
      </c>
      <c r="C26" s="18" t="inlineStr">
        <is>
          <t>Available Components, Jobs and Maker list data uploaded to SAIL PMS. WK verification remains pending.</t>
        </is>
      </c>
      <c r="D26" s="19" t="n"/>
      <c r="E26" s="19" t="n"/>
      <c r="F26" s="19" t="n"/>
      <c r="G26" s="19" t="n"/>
      <c r="H26" s="19" t="n"/>
      <c r="I26" s="20" t="n"/>
    </row>
    <row r="27" ht="21" customHeight="1" s="17">
      <c r="C27" s="21" t="n"/>
      <c r="D27" s="15" t="n"/>
      <c r="E27" s="15" t="n"/>
      <c r="F27" s="15" t="n"/>
      <c r="G27" s="15" t="n"/>
      <c r="H27" s="15" t="n"/>
      <c r="I27" s="22" t="n"/>
    </row>
    <row r="28" ht="27" customHeight="1" s="17">
      <c r="B28" s="1" t="inlineStr">
        <is>
          <t>Pending points / next actions</t>
        </is>
      </c>
      <c r="C28" s="18" t="inlineStr">
        <is>
          <t>WK Team to provide spare data, confirm the Stores baseline, and complete the listed reviews and PMS decisions.</t>
        </is>
      </c>
      <c r="D28" s="19" t="n"/>
      <c r="E28" s="19" t="n"/>
      <c r="F28" s="19" t="n"/>
      <c r="G28" s="19" t="n"/>
      <c r="H28" s="19" t="n"/>
      <c r="I28" s="20" t="n"/>
    </row>
    <row r="29" ht="21" customHeight="1" s="17">
      <c r="C29" s="21" t="n"/>
      <c r="D29" s="15" t="n"/>
      <c r="E29" s="15" t="n"/>
      <c r="F29" s="15" t="n"/>
      <c r="G29" s="15" t="n"/>
      <c r="H29" s="15" t="n"/>
      <c r="I29" s="22" t="n"/>
    </row>
    <row r="30" ht="27" customHeight="1" s="17">
      <c r="B30" s="1" t="inlineStr">
        <is>
          <t>Major risks / gaps</t>
        </is>
      </c>
      <c r="C30" s="18" t="inlineStr">
        <is>
          <t>Category baselines are rough estimates retained for weighted calculations; WK confirmation is needed before treating them as final.</t>
        </is>
      </c>
      <c r="D30" s="19" t="n"/>
      <c r="E30" s="19" t="n"/>
      <c r="F30" s="19" t="n"/>
      <c r="G30" s="19" t="n"/>
      <c r="H30" s="19" t="n"/>
      <c r="I30" s="20" t="n"/>
    </row>
    <row r="31" ht="21" customHeight="1" s="17">
      <c r="C31" s="21" t="n"/>
      <c r="D31" s="15" t="n"/>
      <c r="E31" s="15" t="n"/>
      <c r="F31" s="15" t="n"/>
      <c r="G31" s="15" t="n"/>
      <c r="H31" s="15" t="n"/>
      <c r="I31" s="22" t="n"/>
    </row>
    <row r="32" ht="27" customHeight="1" s="17">
      <c r="B32" s="1" t="inlineStr">
        <is>
          <t>Other remarks</t>
        </is>
      </c>
      <c r="C32" s="18" t="inlineStr">
        <is>
          <t>SAIL responsibility is limited to uploading received data. All other inputs, verification and decisions remain with WK.</t>
        </is>
      </c>
      <c r="D32" s="19" t="n"/>
      <c r="E32" s="19" t="n"/>
      <c r="F32" s="19" t="n"/>
      <c r="G32" s="19" t="n"/>
      <c r="H32" s="19" t="n"/>
      <c r="I32" s="20" t="n"/>
    </row>
    <row r="33" ht="36" customHeight="1" s="17">
      <c r="C33" s="21" t="n"/>
      <c r="D33" s="15" t="n"/>
      <c r="E33" s="15" t="n"/>
      <c r="F33" s="15" t="n"/>
      <c r="G33" s="15" t="n"/>
      <c r="H33" s="15" t="n"/>
      <c r="I33" s="22" t="n"/>
    </row>
    <row r="34">
      <c r="B34" s="28" t="inlineStr">
        <is>
          <t>Weighted data KPIs: Components 30%, Jobs 30%, Spares 30%, Stores 10%. Zero-baseline categories are excluded and active weights normalized; Maker list excluded.</t>
        </is>
      </c>
    </row>
    <row r="35">
      <c r="B35" s="16" t="inlineStr">
        <is>
          <t>WORK ORDERS  /  RH MACHINERY SNAPSHOT</t>
        </is>
      </c>
    </row>
    <row r="36" ht="28.05" customHeight="1" s="17">
      <c r="B36" s="1" t="inlineStr">
        <is>
          <t>Due</t>
        </is>
      </c>
      <c r="D36" s="6">
        <f>IF(ISNUMBER('Update Tracker'!B47),'Update Tracker'!B47,"")</f>
        <v/>
      </c>
      <c r="G36" s="1" t="inlineStr">
        <is>
          <t>Overdue</t>
        </is>
      </c>
      <c r="I36" s="6">
        <f>IF(ISNUMBER('Update Tracker'!B48),'Update Tracker'!B48,"")</f>
        <v/>
      </c>
    </row>
    <row r="37" ht="28.05" customHeight="1" s="17">
      <c r="B37" s="1" t="inlineStr">
        <is>
          <t>Active</t>
        </is>
      </c>
      <c r="D37" s="6">
        <f>IF(ISNUMBER('Update Tracker'!B49),'Update Tracker'!B49,"")</f>
        <v/>
      </c>
      <c r="G37" s="1" t="inlineStr">
        <is>
          <t>Pending approval</t>
        </is>
      </c>
      <c r="I37" s="6">
        <f>IF(ISNUMBER('Update Tracker'!B50),'Update Tracker'!B50,"")</f>
        <v/>
      </c>
      <c r="J37" s="27" t="inlineStr">
        <is>
          <t>Critical chart compares received and pending WK quantities. SAIL loaded counts are shown in the tracker.</t>
        </is>
      </c>
    </row>
    <row r="38" ht="28.05" customHeight="1" s="17">
      <c r="B38" s="1" t="inlineStr">
        <is>
          <t>Completed</t>
        </is>
      </c>
      <c r="D38" s="6">
        <f>IF(ISNUMBER('Update Tracker'!B51),'Update Tracker'!B51,"")</f>
        <v/>
      </c>
      <c r="G38" s="1" t="inlineStr">
        <is>
          <t>RH machinery created</t>
        </is>
      </c>
      <c r="I38" s="6">
        <f>IF(ISNUMBER('Update Tracker'!B56),'Update Tracker'!B56,"")</f>
        <v/>
      </c>
    </row>
    <row r="39" ht="28.05" customHeight="1" s="17">
      <c r="B39" s="1" t="inlineStr">
        <is>
          <t>Vessel RH details updated</t>
        </is>
      </c>
      <c r="D39" s="6">
        <f>IF(ISNUMBER('Update Tracker'!C56),'Update Tracker'!C56,"")</f>
        <v/>
      </c>
      <c r="G39" s="1" t="inlineStr">
        <is>
          <t>RH not updated</t>
        </is>
      </c>
      <c r="I39" s="6">
        <f>IF(ISNUMBER('Update Tracker'!D56),'Update Tracker'!D56,"")</f>
        <v/>
      </c>
    </row>
  </sheetData>
  <mergeCells count="22">
    <mergeCell ref="C6:D6"/>
    <mergeCell ref="B25:I25"/>
    <mergeCell ref="C30:I31"/>
    <mergeCell ref="B8:D8"/>
    <mergeCell ref="C5:D5"/>
    <mergeCell ref="G18:I18"/>
    <mergeCell ref="C26:I27"/>
    <mergeCell ref="J20:R20"/>
    <mergeCell ref="A3:R3"/>
    <mergeCell ref="H6:I6"/>
    <mergeCell ref="G20:I20"/>
    <mergeCell ref="A1:R2"/>
    <mergeCell ref="J37:R38"/>
    <mergeCell ref="B23:D24"/>
    <mergeCell ref="B34:I34"/>
    <mergeCell ref="J8:R8"/>
    <mergeCell ref="C32:I33"/>
    <mergeCell ref="G8:I8"/>
    <mergeCell ref="G21:I23"/>
    <mergeCell ref="H5:I5"/>
    <mergeCell ref="C28:I29"/>
    <mergeCell ref="B35:I35"/>
  </mergeCells>
  <pageMargins left="0.35" right="0.35" top="0.5" bottom="0.5" header="0.2" footer="0.2"/>
  <pageSetup orientation="landscape"/>
  <headerFooter>
    <oddHeader/>
    <oddFooter>&amp;CSAIL PMS • Stakeholder update     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3465F"/>
    <outlinePr summaryBelow="1" summaryRight="1"/>
    <pageSetUpPr fitToPage="1"/>
  </sheetPr>
  <dimension ref="A1:AA60"/>
  <sheetViews>
    <sheetView showGridLines="0" tabSelected="1" zoomScale="85" zoomScaleNormal="80" workbookViewId="0">
      <pane xSplit="1" ySplit="6" topLeftCell="B7" activePane="bottomRight" state="frozen"/>
      <selection pane="topRight" activeCell="A1" sqref="A1"/>
      <selection pane="bottomLeft" activeCell="A6" sqref="A6"/>
      <selection pane="bottomRight" activeCell="A5" sqref="A5:K5"/>
    </sheetView>
  </sheetViews>
  <sheetFormatPr baseColWidth="8" defaultRowHeight="14.4"/>
  <cols>
    <col width="31" customWidth="1" style="17" min="1" max="1"/>
    <col width="25" customWidth="1" style="17" min="2" max="2"/>
    <col width="12" customWidth="1" style="17" min="3" max="3"/>
    <col width="18" customWidth="1" style="17" min="4" max="4"/>
    <col width="12" customWidth="1" style="17" min="5" max="5"/>
    <col width="12" customWidth="1" style="17" min="6" max="6"/>
    <col width="14" customWidth="1" style="17" min="7" max="7"/>
    <col width="14" customWidth="1" style="17" min="8" max="9"/>
    <col width="14" customWidth="1" style="17" min="9" max="9"/>
    <col width="23" customWidth="1" style="17" min="10" max="10"/>
    <col width="10" customWidth="1" style="17" min="11" max="11"/>
    <col hidden="1" width="32" customWidth="1" style="17" min="12" max="12"/>
    <col hidden="1" width="13" customWidth="1" style="17" min="13" max="26"/>
    <col hidden="1" width="16" customWidth="1" style="17" min="27" max="27"/>
  </cols>
  <sheetData>
    <row r="1" ht="24" customHeight="1" s="17">
      <c r="A1" s="26" t="inlineStr">
        <is>
          <t>SAIL PMS  |  UPDATE TRACKER</t>
        </is>
      </c>
    </row>
    <row r="2" ht="19.95" customHeight="1" s="17"/>
    <row r="3" ht="27" customHeight="1" s="17">
      <c r="A3" s="24" t="inlineStr">
        <is>
          <t>Enter updates in yellow cells. Blue cells calculate automatically. Blank means unconfirmed; enter 0 only when confirmed.</t>
        </is>
      </c>
    </row>
    <row r="4" ht="30" customHeight="1" s="17">
      <c r="A4" s="34" t="inlineStr">
        <is>
          <t>Quick update: record quantities received from WK and quantities loaded in SAIL separately; use the dropdowns for statuses.</t>
        </is>
      </c>
    </row>
    <row r="5" ht="22.05" customHeight="1" s="17">
      <c r="A5" s="16" t="inlineStr">
        <is>
          <t>01  /DATA UPLOAD</t>
        </is>
      </c>
    </row>
    <row r="6" ht="42" customHeight="1" s="17">
      <c r="A6" s="31" t="inlineStr">
        <is>
          <t>Category</t>
        </is>
      </c>
      <c r="B6" s="31" t="inlineStr">
        <is>
          <t>Received from WK</t>
        </is>
      </c>
      <c r="C6" s="31" t="inlineStr">
        <is>
          <t>Loaded in SAIL</t>
        </is>
      </c>
      <c r="D6" s="31" t="inlineStr">
        <is>
          <t>Pending WK*</t>
        </is>
      </c>
      <c r="E6" s="31" t="inlineStr">
        <is>
          <t>Received %</t>
        </is>
      </c>
      <c r="F6" s="31" t="inlineStr">
        <is>
          <t>Loaded %</t>
        </is>
      </c>
      <c r="G6" s="31" t="inlineStr">
        <is>
          <t>Data Loading status</t>
        </is>
      </c>
      <c r="H6" s="31" t="inlineStr">
        <is>
          <t>Updated</t>
        </is>
      </c>
      <c r="I6" s="31" t="inlineStr">
        <is>
          <t>Target</t>
        </is>
      </c>
      <c r="J6" s="31" t="inlineStr">
        <is>
          <t>Notes</t>
        </is>
      </c>
      <c r="K6" s="32" t="n"/>
      <c r="L6" s="31" t="n"/>
      <c r="AA6" t="inlineStr">
        <is>
          <t>Estimated baseline (hidden)</t>
        </is>
      </c>
    </row>
    <row r="7" ht="34.05" customHeight="1" s="17">
      <c r="A7" s="1" t="inlineStr">
        <is>
          <t>Components</t>
        </is>
      </c>
      <c r="B7" s="11" t="n">
        <v>1500</v>
      </c>
      <c r="C7" s="11" t="n">
        <v>1500</v>
      </c>
      <c r="D7" s="12">
        <f>IF(AND(ISNUMBER(AA7),ISNUMBER(B7),B7&lt;=AA7),AA7-B7,"")</f>
        <v/>
      </c>
      <c r="E7" s="13">
        <f>IF(AND(ISNUMBER(B7),ISNUMBER(AA7),AA7&gt;0,B7&lt;=AA7),B7/AA7,"")</f>
        <v/>
      </c>
      <c r="F7" s="13">
        <f>IF(AND(ISNUMBER(C7),ISNUMBER(B7),ISNUMBER(AA7),AA7&gt;0,C7&lt;=B7,C7&lt;=AA7),C7/AA7,"")</f>
        <v/>
      </c>
      <c r="G7" s="14" t="inlineStr">
        <is>
          <t>Completed</t>
        </is>
      </c>
      <c r="H7" s="9" t="n">
        <v>46294</v>
      </c>
      <c r="I7" s="9" t="n">
        <v>46294</v>
      </c>
      <c r="J7" s="14" t="inlineStr">
        <is>
          <t>Data Verification Pending from WK</t>
        </is>
      </c>
      <c r="K7" s="15" t="n"/>
      <c r="L7" s="14" t="n"/>
      <c r="AA7" t="n">
        <v>1500</v>
      </c>
    </row>
    <row r="8" ht="34.05" customHeight="1" s="17">
      <c r="A8" s="1" t="inlineStr">
        <is>
          <t>Jobs</t>
        </is>
      </c>
      <c r="B8" s="11" t="n">
        <v>2000</v>
      </c>
      <c r="C8" s="11" t="n">
        <v>2000</v>
      </c>
      <c r="D8" s="12">
        <f>IF(AND(ISNUMBER(AA8),ISNUMBER(B8),B8&lt;=AA8),AA8-B8,"")</f>
        <v/>
      </c>
      <c r="E8" s="13">
        <f>IF(AND(ISNUMBER(B8),ISNUMBER(AA8),AA8&gt;0,B8&lt;=AA8),B8/AA8,"")</f>
        <v/>
      </c>
      <c r="F8" s="13">
        <f>IF(AND(ISNUMBER(C8),ISNUMBER(B8),ISNUMBER(AA8),AA8&gt;0,C8&lt;=B8,C8&lt;=AA8),C8/AA8,"")</f>
        <v/>
      </c>
      <c r="G8" s="14" t="inlineStr">
        <is>
          <t>Completed</t>
        </is>
      </c>
      <c r="H8" s="9" t="n">
        <v>46294</v>
      </c>
      <c r="I8" s="9" t="n">
        <v>46294</v>
      </c>
      <c r="J8" s="14" t="inlineStr">
        <is>
          <t>Data Verification Pending from WK</t>
        </is>
      </c>
      <c r="K8" s="15" t="n"/>
      <c r="L8" s="14" t="n"/>
      <c r="AA8" t="n">
        <v>2000</v>
      </c>
    </row>
    <row r="9" ht="34.05" customHeight="1" s="17">
      <c r="A9" s="1" t="inlineStr">
        <is>
          <t>Spares</t>
        </is>
      </c>
      <c r="B9" s="11" t="n">
        <v>0</v>
      </c>
      <c r="C9" s="11" t="n">
        <v>0</v>
      </c>
      <c r="D9" s="12">
        <f>IF(AND(ISNUMBER(AA9),ISNUMBER(B9),B9&lt;=AA9),AA9-B9,"")</f>
        <v/>
      </c>
      <c r="E9" s="13">
        <f>IF(AND(ISNUMBER(B9),ISNUMBER(AA9),AA9&gt;0,B9&lt;=AA9),B9/AA9,"")</f>
        <v/>
      </c>
      <c r="F9" s="13">
        <f>IF(AND(ISNUMBER(C9),ISNUMBER(B9),ISNUMBER(AA9),AA9&gt;0,C9&lt;=B9,C9&lt;=AA9),C9/AA9,"")</f>
        <v/>
      </c>
      <c r="G9" s="14" t="inlineStr">
        <is>
          <t>Pending Wah Kwong Input</t>
        </is>
      </c>
      <c r="H9" s="9" t="n">
        <v>46294</v>
      </c>
      <c r="I9" s="9" t="n">
        <v>46294</v>
      </c>
      <c r="J9" s="14" t="inlineStr">
        <is>
          <t>Awaiting for the data from Wah Kwong team</t>
        </is>
      </c>
      <c r="K9" s="15" t="n"/>
      <c r="L9" s="14" t="n"/>
      <c r="AA9" t="n">
        <v>18000</v>
      </c>
    </row>
    <row r="10" ht="34.05" customHeight="1" s="17">
      <c r="A10" s="1" t="inlineStr">
        <is>
          <t>Stores</t>
        </is>
      </c>
      <c r="B10" s="11" t="n">
        <v>0</v>
      </c>
      <c r="C10" s="11" t="n">
        <v>0</v>
      </c>
      <c r="D10" s="12">
        <f>IF(AND(ISNUMBER(AA10),ISNUMBER(B10),B10&lt;=AA10),AA10-B10,"")</f>
        <v/>
      </c>
      <c r="E10" s="13">
        <f>IF(AND(ISNUMBER(B10),ISNUMBER(AA10),AA10&gt;0,B10&lt;=AA10),B10/AA10,"")</f>
        <v/>
      </c>
      <c r="F10" s="13">
        <f>IF(AND(ISNUMBER(C10),ISNUMBER(B10),ISNUMBER(AA10),AA10&gt;0,C10&lt;=B10,C10&lt;=AA10),C10/AA10,"")</f>
        <v/>
      </c>
      <c r="G10" s="14" t="inlineStr">
        <is>
          <t>Pending Wah Kwong Input</t>
        </is>
      </c>
      <c r="H10" s="9" t="n">
        <v>46294</v>
      </c>
      <c r="I10" s="9" t="n">
        <v>46294</v>
      </c>
      <c r="J10" s="14" t="inlineStr">
        <is>
          <t>Awaiting for the data from Wah Kwong team</t>
        </is>
      </c>
      <c r="K10" s="15" t="n"/>
      <c r="L10" s="14" t="n"/>
      <c r="AA10" t="n">
        <v>0</v>
      </c>
    </row>
    <row r="11" ht="30" customHeight="1" s="17">
      <c r="A11" s="1" t="inlineStr">
        <is>
          <t>Maker list</t>
        </is>
      </c>
      <c r="B11" s="11" t="n">
        <v>50</v>
      </c>
      <c r="C11" s="11" t="n">
        <v>50</v>
      </c>
      <c r="D11" s="12">
        <f>IF(AND(ISNUMBER(AA11),ISNUMBER(B11),B11&lt;=AA11),AA11-B11,"")</f>
        <v/>
      </c>
      <c r="E11" s="13">
        <f>IF(AND(ISNUMBER(B11),ISNUMBER(AA11),AA11&gt;0,B11&lt;=AA11),B11/AA11,"")</f>
        <v/>
      </c>
      <c r="F11" s="13">
        <f>IF(AND(ISNUMBER(C11),ISNUMBER(B11),ISNUMBER(AA11),AA11&gt;0,C11&lt;=B11,C11&lt;=AA11),C11/AA11,"")</f>
        <v/>
      </c>
      <c r="G11" s="14" t="inlineStr">
        <is>
          <t>Completed</t>
        </is>
      </c>
      <c r="H11" s="9" t="n">
        <v>46294</v>
      </c>
      <c r="I11" s="9" t="n">
        <v>46294</v>
      </c>
      <c r="J11" s="14" t="inlineStr">
        <is>
          <t>Data Verification Pending from WK</t>
        </is>
      </c>
      <c r="K11" s="15" t="n"/>
      <c r="L11" s="14" t="n"/>
      <c r="AA11" t="n">
        <v>50</v>
      </c>
    </row>
    <row r="12">
      <c r="A12" s="34" t="inlineStr">
        <is>
          <t>Progress uses hidden rough-estimate baselines. Zero-baseline categories are excluded; Maker list is not weighted.</t>
        </is>
      </c>
    </row>
    <row r="14" ht="22.05" customHeight="1" s="17">
      <c r="A14" s="16" t="inlineStr">
        <is>
          <t>02  /  DATA GAPS — JOBS &amp; SPARES FOR COMPONENTS</t>
        </is>
      </c>
    </row>
    <row r="15" ht="37.95" customHeight="1" s="17">
      <c r="A15" s="31" t="inlineStr">
        <is>
          <t>Gap</t>
        </is>
      </c>
      <c r="B15" s="31" t="inlineStr">
        <is>
          <t>Components</t>
        </is>
      </c>
      <c r="C15" s="31" t="inlineStr">
        <is>
          <t>Component IDs / names</t>
        </is>
      </c>
      <c r="D15" s="33" t="n"/>
      <c r="E15" s="33" t="n"/>
      <c r="F15" s="32" t="n"/>
      <c r="G15" s="31" t="inlineStr">
        <is>
          <t>Status</t>
        </is>
      </c>
      <c r="H15" s="31" t="inlineStr">
        <is>
          <t>Target</t>
        </is>
      </c>
      <c r="I15" s="31" t="inlineStr">
        <is>
          <t>Updated</t>
        </is>
      </c>
      <c r="J15" s="31" t="inlineStr">
        <is>
          <t>Next step / notes</t>
        </is>
      </c>
      <c r="K15" s="32" t="n"/>
      <c r="L15" s="31" t="n"/>
    </row>
    <row r="16" ht="34.05" customHeight="1" s="17">
      <c r="A16" s="1" t="inlineStr">
        <is>
          <t>Components missing jobs</t>
        </is>
      </c>
      <c r="B16" s="11" t="n">
        <v>200</v>
      </c>
      <c r="C16" s="14" t="n"/>
      <c r="D16" s="15" t="n"/>
      <c r="E16" s="15" t="n"/>
      <c r="F16" s="15" t="n"/>
      <c r="G16" s="14" t="inlineStr">
        <is>
          <t>Pending Wah Kwong Input</t>
        </is>
      </c>
      <c r="H16" s="3" t="n"/>
      <c r="I16" s="3" t="n"/>
      <c r="J16" s="14" t="inlineStr">
        <is>
          <t>Dates needs to updated by Wah Kwong Team</t>
        </is>
      </c>
      <c r="K16" s="15" t="n"/>
      <c r="L16" s="14" t="n"/>
    </row>
    <row r="17" ht="34.05" customHeight="1" s="17">
      <c r="A17" s="1" t="inlineStr">
        <is>
          <t>Components missing spares</t>
        </is>
      </c>
      <c r="B17" s="11" t="n">
        <v>1500</v>
      </c>
      <c r="C17" s="14" t="n"/>
      <c r="D17" s="15" t="n"/>
      <c r="E17" s="15" t="n"/>
      <c r="F17" s="15" t="n"/>
      <c r="G17" s="14" t="inlineStr">
        <is>
          <t>Pending Wah Kwong Input</t>
        </is>
      </c>
      <c r="H17" s="3" t="n"/>
      <c r="I17" s="3" t="n"/>
      <c r="J17" s="14" t="inlineStr">
        <is>
          <t>Dates needs to updated by Wah Kwong Team</t>
        </is>
      </c>
      <c r="K17" s="15" t="n"/>
      <c r="L17" s="14" t="n"/>
    </row>
    <row r="18" ht="25.95" customHeight="1" s="17">
      <c r="A18" s="28" t="inlineStr">
        <is>
          <t>List affected components by ID or name. A component with both gaps can appear in both rows, so do not add the counts.</t>
        </is>
      </c>
    </row>
    <row r="20" ht="22.05" customHeight="1" s="17">
      <c r="A20" s="16" t="inlineStr">
        <is>
          <t>03  /  CRITICAL DATA — RECEIPT, SAIL LOADING &amp; WK CHECK</t>
        </is>
      </c>
    </row>
    <row r="21" ht="46.05" customHeight="1" s="17">
      <c r="A21" s="31" t="inlineStr">
        <is>
          <t>Critical item</t>
        </is>
      </c>
      <c r="B21" s="31" t="inlineStr">
        <is>
          <t>Received from WK</t>
        </is>
      </c>
      <c r="C21" s="31" t="inlineStr">
        <is>
          <t>Loaded in SAIL</t>
        </is>
      </c>
      <c r="D21" s="31" t="inlineStr">
        <is>
          <t>Pending WK*</t>
        </is>
      </c>
      <c r="E21" s="31" t="inlineStr">
        <is>
          <t>Pending SAIL upload</t>
        </is>
      </c>
      <c r="F21" s="31" t="inlineStr">
        <is>
          <t>Received %</t>
        </is>
      </c>
      <c r="G21" s="31" t="inlineStr">
        <is>
          <t>Loaded %</t>
        </is>
      </c>
      <c r="H21" s="31" t="inlineStr">
        <is>
          <t>WK status</t>
        </is>
      </c>
      <c r="I21" s="31" t="inlineStr">
        <is>
          <t>Updated</t>
        </is>
      </c>
      <c r="J21" s="31" t="inlineStr">
        <is>
          <t>Target</t>
        </is>
      </c>
      <c r="K21" s="31" t="inlineStr">
        <is>
          <t>Notes</t>
        </is>
      </c>
      <c r="L21" s="31" t="n"/>
      <c r="M21" t="n"/>
      <c r="AA21" t="inlineStr">
        <is>
          <t>Estimated critical baseline (hidden)</t>
        </is>
      </c>
    </row>
    <row r="22" ht="31.95" customHeight="1" s="17">
      <c r="A22" s="1" t="inlineStr">
        <is>
          <t>Critical Components</t>
        </is>
      </c>
      <c r="B22" s="11" t="n">
        <v>50</v>
      </c>
      <c r="C22" s="11" t="n">
        <v>50</v>
      </c>
      <c r="D22" s="12">
        <f>IF(AND(ISNUMBER(AA22),ISNUMBER(B22),B22&lt;=AA22),AA22-B22,"")</f>
        <v/>
      </c>
      <c r="E22" s="12">
        <f>IF(AND(ISNUMBER(B22),ISNUMBER(C22),C22&lt;=B22),B22-C22,"")</f>
        <v/>
      </c>
      <c r="F22" s="13">
        <f>IF(AND(ISNUMBER(B22),ISNUMBER(AA22),AA22&gt;0,B22&lt;=AA22),B22/AA22,"")</f>
        <v/>
      </c>
      <c r="G22" s="13">
        <f>IF(AND(ISNUMBER(C22),ISNUMBER(B22),ISNUMBER(AA22),AA22&gt;0,C22&lt;=B22,C22&lt;=AA22),C22/AA22,"")</f>
        <v/>
      </c>
      <c r="H22" s="14" t="inlineStr">
        <is>
          <t>Pending Review</t>
        </is>
      </c>
      <c r="I22" s="3" t="n"/>
      <c r="J22" s="3" t="n"/>
      <c r="K22" s="14" t="inlineStr">
        <is>
          <t>Dates needs to updated by Wah Kwong Team</t>
        </is>
      </c>
      <c r="L22" s="14" t="n"/>
      <c r="M22" t="n"/>
      <c r="AA22" t="n">
        <v>50</v>
      </c>
    </row>
    <row r="23" ht="31.95" customHeight="1" s="17">
      <c r="A23" s="1" t="inlineStr">
        <is>
          <t>Critical Spares</t>
        </is>
      </c>
      <c r="B23" s="11" t="n">
        <v>0</v>
      </c>
      <c r="C23" s="8" t="n"/>
      <c r="D23" s="12">
        <f>IF(AND(ISNUMBER(AA23),ISNUMBER(B23),B23&lt;=AA23),AA23-B23,"")</f>
        <v/>
      </c>
      <c r="E23" s="12">
        <f>IF(AND(ISNUMBER(B23),ISNUMBER(C23),C23&lt;=B23),B23-C23,"")</f>
        <v/>
      </c>
      <c r="F23" s="13">
        <f>IF(AND(ISNUMBER(B23),ISNUMBER(AA23),AA23&gt;0,B23&lt;=AA23),B23/AA23,"")</f>
        <v/>
      </c>
      <c r="G23" s="13">
        <f>IF(AND(ISNUMBER(C23),ISNUMBER(B23),ISNUMBER(AA23),AA23&gt;0,C23&lt;=B23,C23&lt;=AA23),C23/AA23,"")</f>
        <v/>
      </c>
      <c r="H23" s="14" t="inlineStr">
        <is>
          <t>Pending Wah Kwong Input</t>
        </is>
      </c>
      <c r="I23" s="3" t="n"/>
      <c r="J23" s="3" t="n"/>
      <c r="K23" s="14" t="inlineStr">
        <is>
          <t>Dates needs to updated by Wah Kwong Team</t>
        </is>
      </c>
      <c r="L23" s="14" t="n"/>
      <c r="M23" t="n"/>
      <c r="AA23" t="n">
        <v>50</v>
      </c>
    </row>
    <row r="24" ht="31.95" customHeight="1" s="17">
      <c r="A24" s="1" t="inlineStr">
        <is>
          <t>Critical Jobs</t>
        </is>
      </c>
      <c r="B24" s="11" t="n">
        <v>50</v>
      </c>
      <c r="C24" s="11" t="n">
        <v>50</v>
      </c>
      <c r="D24" s="12">
        <f>IF(AND(ISNUMBER(AA24),ISNUMBER(B24),B24&lt;=AA24),AA24-B24,"")</f>
        <v/>
      </c>
      <c r="E24" s="12">
        <f>IF(AND(ISNUMBER(B24),ISNUMBER(C24),C24&lt;=B24),B24-C24,"")</f>
        <v/>
      </c>
      <c r="F24" s="13">
        <f>IF(AND(ISNUMBER(B24),ISNUMBER(AA24),AA24&gt;0,B24&lt;=AA24),B24/AA24,"")</f>
        <v/>
      </c>
      <c r="G24" s="13">
        <f>IF(AND(ISNUMBER(C24),ISNUMBER(B24),ISNUMBER(AA24),AA24&gt;0,C24&lt;=B24,C24&lt;=AA24),C24/AA24,"")</f>
        <v/>
      </c>
      <c r="H24" s="14" t="inlineStr">
        <is>
          <t>Pending Review</t>
        </is>
      </c>
      <c r="I24" s="3" t="n"/>
      <c r="J24" s="3" t="n"/>
      <c r="K24" s="14" t="inlineStr">
        <is>
          <t>Dates needs to updated by Wah Kwong Team</t>
        </is>
      </c>
      <c r="L24" s="14" t="n"/>
      <c r="M24" t="n"/>
      <c r="AA24" t="n">
        <v>50</v>
      </c>
    </row>
    <row r="25" ht="27" customHeight="1" s="17">
      <c r="A25" s="28" t="inlineStr">
        <is>
          <t>Track received and loaded separately. Leave unconfirmed quantities blank; hidden estimates support progress calculations only.</t>
        </is>
      </c>
    </row>
    <row r="27" ht="22.05" customHeight="1" s="17">
      <c r="A27" s="16" t="inlineStr">
        <is>
          <t>04  /  WK TEAM INPUTS, REVIEWS &amp; DECISIONS</t>
        </is>
      </c>
    </row>
    <row r="28" ht="40.05" customHeight="1" s="17">
      <c r="A28" s="31" t="inlineStr">
        <is>
          <t>Work Element</t>
        </is>
      </c>
      <c r="B28" s="31" t="inlineStr">
        <is>
          <t>Description</t>
        </is>
      </c>
      <c r="C28" s="31" t="inlineStr">
        <is>
          <t>Weight %</t>
        </is>
      </c>
      <c r="D28" s="31" t="inlineStr">
        <is>
          <t>WK Completion</t>
        </is>
      </c>
      <c r="E28" s="31" t="inlineStr">
        <is>
          <t>Score</t>
        </is>
      </c>
      <c r="F28" s="31" t="inlineStr">
        <is>
          <t>Priority</t>
        </is>
      </c>
      <c r="G28" s="31" t="inlineStr">
        <is>
          <t>Target</t>
        </is>
      </c>
      <c r="H28" s="31" t="inlineStr">
        <is>
          <t>Completed</t>
        </is>
      </c>
      <c r="I28" s="31" t="inlineStr">
        <is>
          <t>Updated</t>
        </is>
      </c>
      <c r="J28" s="31" t="inlineStr">
        <is>
          <t>Notes / next action</t>
        </is>
      </c>
      <c r="K28" s="32" t="n"/>
      <c r="L28" s="31" t="n"/>
    </row>
    <row r="29" ht="31" customHeight="1" s="17">
      <c r="A29" s="1" t="inlineStr">
        <is>
          <t>Equipment Register Creation</t>
        </is>
      </c>
      <c r="B29" s="1" t="inlineStr">
        <is>
          <t>All equipment listed</t>
        </is>
      </c>
      <c r="C29" s="36" t="n">
        <v>0.2</v>
      </c>
      <c r="D29" s="37" t="inlineStr">
        <is>
          <t>Yes</t>
        </is>
      </c>
      <c r="E29" s="38">
        <f>IF(OR(NOT(ISNUMBER(C29)),D29=""),"",C29*IF(D29="Yes",1,IF(D29="In Progress",0.5,IF(D29="N",0,""))))</f>
        <v/>
      </c>
      <c r="F29" s="14" t="inlineStr">
        <is>
          <t>High</t>
        </is>
      </c>
      <c r="G29" s="3" t="n"/>
      <c r="H29" s="3" t="n"/>
      <c r="I29" s="3" t="n"/>
      <c r="J29" s="14" t="inlineStr">
        <is>
          <t>Pending input, review or decision from WK Team.</t>
        </is>
      </c>
      <c r="K29" s="15" t="n"/>
      <c r="L29" s="14" t="n"/>
    </row>
    <row r="30" ht="31" customHeight="1" s="17">
      <c r="A30" s="1" t="inlineStr">
        <is>
          <t>Maker Manuals Collection</t>
        </is>
      </c>
      <c r="B30" s="1" t="inlineStr">
        <is>
          <t>OEM manuals uploaded</t>
        </is>
      </c>
      <c r="C30" s="36" t="n">
        <v>0.15</v>
      </c>
      <c r="D30" s="37" t="inlineStr">
        <is>
          <t>N</t>
        </is>
      </c>
      <c r="E30" s="38">
        <f>IF(OR(NOT(ISNUMBER(C30)),D30=""),"",C30*IF(D30="Yes",1,IF(D30="In Progress",0.5,IF(D30="N",0,""))))</f>
        <v/>
      </c>
      <c r="F30" s="14" t="n"/>
      <c r="G30" s="3" t="n"/>
      <c r="H30" s="3" t="n"/>
      <c r="I30" s="3" t="n"/>
      <c r="J30" s="14" t="inlineStr">
        <is>
          <t>Pending input, review or decision from WK Team.</t>
        </is>
      </c>
      <c r="K30" s="15" t="n"/>
      <c r="L30" s="14" t="n"/>
    </row>
    <row r="31" ht="31" customHeight="1" s="17">
      <c r="A31" s="1" t="inlineStr">
        <is>
          <t>PMS Job Creation</t>
        </is>
      </c>
      <c r="B31" s="1" t="inlineStr">
        <is>
          <t>Maintenance tasks built</t>
        </is>
      </c>
      <c r="C31" s="36" t="n">
        <v>0.25</v>
      </c>
      <c r="D31" s="37" t="inlineStr">
        <is>
          <t>Yes</t>
        </is>
      </c>
      <c r="E31" s="38">
        <f>IF(OR(NOT(ISNUMBER(C31)),D31=""),"",C31*IF(D31="Yes",1,IF(D31="In Progress",0.5,IF(D31="N",0,""))))</f>
        <v/>
      </c>
      <c r="F31" s="14" t="n"/>
      <c r="G31" s="3" t="n"/>
      <c r="H31" s="3" t="n"/>
      <c r="I31" s="3" t="n"/>
      <c r="J31" s="14" t="n"/>
      <c r="K31" s="15" t="n"/>
      <c r="L31" s="14" t="n"/>
    </row>
    <row r="32" ht="31" customHeight="1" s="17">
      <c r="A32" s="1" t="inlineStr">
        <is>
          <t>Interval Verification</t>
        </is>
      </c>
      <c r="B32" s="1" t="inlineStr">
        <is>
          <t>Intervals confirmed</t>
        </is>
      </c>
      <c r="C32" s="36" t="n">
        <v>0.1</v>
      </c>
      <c r="D32" s="37" t="inlineStr">
        <is>
          <t>N</t>
        </is>
      </c>
      <c r="E32" s="38">
        <f>IF(OR(NOT(ISNUMBER(C32)),D32=""),"",C32*IF(D32="Yes",1,IF(D32="In Progress",0.5,IF(D32="N",0,""))))</f>
        <v/>
      </c>
      <c r="F32" s="14" t="n"/>
      <c r="G32" s="3" t="n"/>
      <c r="H32" s="3" t="n"/>
      <c r="I32" s="3" t="n"/>
      <c r="J32" s="14" t="inlineStr">
        <is>
          <t>Pending input, review or decision from WK Team.</t>
        </is>
      </c>
      <c r="K32" s="15" t="n"/>
      <c r="L32" s="14" t="n"/>
    </row>
    <row r="33" ht="31" customHeight="1" s="17">
      <c r="A33" s="1" t="inlineStr">
        <is>
          <t>Spare Parts Mapping</t>
        </is>
      </c>
      <c r="B33" s="1" t="inlineStr">
        <is>
          <t>Parts linked</t>
        </is>
      </c>
      <c r="C33" s="36" t="n">
        <v>0.1</v>
      </c>
      <c r="D33" s="37" t="inlineStr">
        <is>
          <t>N</t>
        </is>
      </c>
      <c r="E33" s="38">
        <f>IF(OR(NOT(ISNUMBER(C33)),D33=""),"",C33*IF(D33="Yes",1,IF(D33="In Progress",0.5,IF(D33="N",0,""))))</f>
        <v/>
      </c>
      <c r="F33" s="14" t="n"/>
      <c r="G33" s="3" t="n"/>
      <c r="H33" s="3" t="n"/>
      <c r="I33" s="3" t="n"/>
      <c r="J33" s="14" t="inlineStr">
        <is>
          <t>Pending input, review or decision from WK Team.</t>
        </is>
      </c>
      <c r="K33" s="15" t="n"/>
      <c r="L33" s="14" t="n"/>
    </row>
    <row r="34" ht="31" customHeight="1" s="17">
      <c r="A34" s="1" t="inlineStr">
        <is>
          <t>Risk/Criticality Review</t>
        </is>
      </c>
      <c r="B34" s="1" t="inlineStr">
        <is>
          <t>Criticality completed</t>
        </is>
      </c>
      <c r="C34" s="36" t="n">
        <v>0.05</v>
      </c>
      <c r="D34" s="37" t="inlineStr">
        <is>
          <t>N</t>
        </is>
      </c>
      <c r="E34" s="38">
        <f>IF(OR(NOT(ISNUMBER(C34)),D34=""),"",C34*IF(D34="Yes",1,IF(D34="In Progress",0.5,IF(D34="N",0,""))))</f>
        <v/>
      </c>
      <c r="F34" s="14" t="n"/>
      <c r="G34" s="3" t="n"/>
      <c r="H34" s="3" t="n"/>
      <c r="I34" s="3" t="n"/>
      <c r="J34" s="14" t="inlineStr">
        <is>
          <t>Pending input, review or decision from WK Team.</t>
        </is>
      </c>
      <c r="K34" s="15" t="n"/>
      <c r="L34" s="14" t="n"/>
    </row>
    <row r="35" ht="31" customHeight="1" s="17">
      <c r="A35" s="1" t="inlineStr">
        <is>
          <t>Class/Statutory Tasks</t>
        </is>
      </c>
      <c r="B35" s="1" t="inlineStr">
        <is>
          <t>Compliance tasks added</t>
        </is>
      </c>
      <c r="C35" s="36" t="n">
        <v>0.1</v>
      </c>
      <c r="D35" s="37" t="inlineStr">
        <is>
          <t>N</t>
        </is>
      </c>
      <c r="E35" s="38">
        <f>IF(OR(NOT(ISNUMBER(C35)),D35=""),"",C35*IF(D35="Yes",1,IF(D35="In Progress",0.5,IF(D35="N",0,""))))</f>
        <v/>
      </c>
      <c r="F35" s="14" t="n"/>
      <c r="G35" s="3" t="n"/>
      <c r="H35" s="3" t="n"/>
      <c r="I35" s="3" t="n"/>
      <c r="J35" s="14" t="inlineStr">
        <is>
          <t>Pending input, review or decision from WK Team.</t>
        </is>
      </c>
      <c r="K35" s="15" t="n"/>
      <c r="L35" s="14" t="n"/>
    </row>
    <row r="36" ht="31" customHeight="1" s="17">
      <c r="A36" s="1" t="inlineStr">
        <is>
          <t>SMS Review</t>
        </is>
      </c>
      <c r="B36" s="1" t="inlineStr">
        <is>
          <t>Final verification</t>
        </is>
      </c>
      <c r="C36" s="36" t="n">
        <v>0.05</v>
      </c>
      <c r="D36" s="37" t="inlineStr">
        <is>
          <t>N</t>
        </is>
      </c>
      <c r="E36" s="38">
        <f>IF(OR(NOT(ISNUMBER(C36)),D36=""),"",C36*IF(D36="Yes",1,IF(D36="In Progress",0.5,IF(D36="N",0,""))))</f>
        <v/>
      </c>
      <c r="F36" s="14" t="n"/>
      <c r="G36" s="3" t="n"/>
      <c r="H36" s="3" t="n"/>
      <c r="I36" s="3" t="n"/>
      <c r="J36" s="14" t="inlineStr">
        <is>
          <t>Pending input, review or decision from WK Team.</t>
        </is>
      </c>
      <c r="K36" s="15" t="n"/>
      <c r="L36" s="14" t="n"/>
    </row>
    <row r="37" ht="31" customHeight="1" s="17">
      <c r="A37" s="1" t="inlineStr">
        <is>
          <t>Supporting documentation</t>
        </is>
      </c>
      <c r="B37" s="1" t="inlineStr">
        <is>
          <t>Supporting records and documentation collected</t>
        </is>
      </c>
      <c r="C37" s="36" t="n"/>
      <c r="D37" s="37" t="n"/>
      <c r="E37" s="38">
        <f>IF(OR(NOT(ISNUMBER(C37)),D37=""),"",C37*IF(D37="Yes",1,IF(D37="In Progress",0.5,IF(D37="N",0,""))))</f>
        <v/>
      </c>
      <c r="F37" s="14" t="n"/>
      <c r="G37" s="3" t="n"/>
      <c r="H37" s="3" t="n"/>
      <c r="I37" s="3" t="n"/>
      <c r="J37" s="14" t="inlineStr">
        <is>
          <t>Pending input, review or decision from WK Team.</t>
        </is>
      </c>
      <c r="K37" s="15" t="n"/>
      <c r="L37" s="14" t="n"/>
    </row>
    <row r="38" ht="31" customHeight="1" s="17">
      <c r="A38" s="1" t="inlineStr">
        <is>
          <t>Task procedures / instructions</t>
        </is>
      </c>
      <c r="B38" s="1" t="inlineStr">
        <is>
          <t>Task procedures and operating instructions</t>
        </is>
      </c>
      <c r="C38" s="36" t="n"/>
      <c r="D38" s="37" t="n"/>
      <c r="E38" s="38">
        <f>IF(OR(NOT(ISNUMBER(C38)),D38=""),"",C38*IF(D38="Yes",1,IF(D38="In Progress",0.5,IF(D38="N",0,""))))</f>
        <v/>
      </c>
      <c r="F38" s="14" t="n"/>
      <c r="G38" s="3" t="n"/>
      <c r="H38" s="3" t="n"/>
      <c r="I38" s="3" t="n"/>
      <c r="J38" s="14" t="inlineStr">
        <is>
          <t>Pending input, review or decision from WK Team.</t>
        </is>
      </c>
      <c r="K38" s="15" t="n"/>
      <c r="L38" s="14" t="n"/>
    </row>
    <row r="39" ht="31" customHeight="1" s="17">
      <c r="A39" s="1" t="inlineStr">
        <is>
          <t>Spare parts source data</t>
        </is>
      </c>
      <c r="B39" s="1" t="inlineStr">
        <is>
          <t>Spare-parts reference data received</t>
        </is>
      </c>
      <c r="C39" s="36" t="n"/>
      <c r="D39" s="37" t="n"/>
      <c r="E39" s="38">
        <f>IF(OR(NOT(ISNUMBER(C39)),D39=""),"",C39*IF(D39="Yes",1,IF(D39="In Progress",0.5,IF(D39="N",0,""))))</f>
        <v/>
      </c>
      <c r="F39" s="14" t="n"/>
      <c r="G39" s="3" t="n"/>
      <c r="H39" s="3" t="n"/>
      <c r="I39" s="3" t="n"/>
      <c r="J39" s="14" t="inlineStr">
        <is>
          <t>Pending input, review or decision from WK Team.</t>
        </is>
      </c>
      <c r="K39" s="15" t="n"/>
      <c r="L39" s="14" t="n"/>
    </row>
    <row r="40" ht="31" customHeight="1" s="17">
      <c r="A40" s="1" t="inlineStr">
        <is>
          <t>Data quality / missing-field clarifications</t>
        </is>
      </c>
      <c r="B40" s="1" t="inlineStr">
        <is>
          <t>Resolve unclear or missing source data</t>
        </is>
      </c>
      <c r="C40" s="36" t="n"/>
      <c r="D40" s="37" t="n"/>
      <c r="E40" s="38">
        <f>IF(OR(NOT(ISNUMBER(C40)),D40=""),"",C40*IF(D40="Yes",1,IF(D40="In Progress",0.5,IF(D40="N",0,""))))</f>
        <v/>
      </c>
      <c r="F40" s="14" t="n"/>
      <c r="G40" s="3" t="n"/>
      <c r="H40" s="3" t="n"/>
      <c r="I40" s="3" t="n"/>
      <c r="J40" s="14" t="inlineStr">
        <is>
          <t>Pending input, review or decision from WK Team.</t>
        </is>
      </c>
      <c r="K40" s="15" t="n"/>
      <c r="L40" s="14" t="n"/>
    </row>
    <row r="41" ht="31" customHeight="1" s="17">
      <c r="A41" s="1" t="inlineStr">
        <is>
          <t>PMS changes: WK decisions</t>
        </is>
      </c>
      <c r="B41" s="1" t="inlineStr">
        <is>
          <t>WK decisions on requested PMS changes</t>
        </is>
      </c>
      <c r="C41" s="36" t="n"/>
      <c r="D41" s="37" t="n"/>
      <c r="E41" s="38">
        <f>IF(OR(NOT(ISNUMBER(C41)),D41=""),"",C41*IF(D41="Yes",1,IF(D41="In Progress",0.5,IF(D41="N",0,""))))</f>
        <v/>
      </c>
      <c r="F41" s="14" t="n"/>
      <c r="G41" s="3" t="n"/>
      <c r="H41" s="3" t="n"/>
      <c r="I41" s="3" t="n"/>
      <c r="J41" s="14" t="inlineStr">
        <is>
          <t>Pending input, review or decision from WK Team.</t>
        </is>
      </c>
      <c r="K41" s="15" t="n"/>
    </row>
    <row r="42" ht="34" customHeight="1" s="17">
      <c r="A42" s="28" t="inlineStr">
        <is>
          <t>WK team: choose Yes, In Progress or N. Scores calculate from the assigned weights; blank status means not assessed. Unweighted review lines are outside the 100% total.</t>
        </is>
      </c>
    </row>
    <row r="44" ht="22.05" customHeight="1" s="17">
      <c r="A44" s="16" t="inlineStr">
        <is>
          <t>05  /  WORK ORDER SUMMARY — SAIL PMS</t>
        </is>
      </c>
    </row>
    <row r="45" ht="36" customHeight="1" s="17">
      <c r="A45" s="31" t="inlineStr">
        <is>
          <t>Measure</t>
        </is>
      </c>
      <c r="B45" s="31" t="inlineStr">
        <is>
          <t>WO count</t>
        </is>
      </c>
      <c r="C45" s="31" t="inlineStr">
        <is>
          <t>Status</t>
        </is>
      </c>
      <c r="D45" s="31" t="inlineStr">
        <is>
          <t>Updated</t>
        </is>
      </c>
      <c r="E45" s="31" t="inlineStr">
        <is>
          <t>Notes</t>
        </is>
      </c>
      <c r="F45" s="33" t="n"/>
      <c r="G45" s="33" t="n"/>
      <c r="H45" s="33" t="n"/>
      <c r="I45" s="33" t="n"/>
      <c r="J45" s="33" t="n"/>
      <c r="K45" s="32" t="n"/>
      <c r="L45" s="31" t="n"/>
    </row>
    <row r="46" ht="31.95" customHeight="1" s="17">
      <c r="A46" s="1" t="inlineStr">
        <is>
          <t>Generated till now</t>
        </is>
      </c>
      <c r="B46" s="11" t="n">
        <v>8000</v>
      </c>
      <c r="C46" s="14" t="inlineStr">
        <is>
          <t>In Progress</t>
        </is>
      </c>
      <c r="D46" s="9" t="n">
        <v>46294</v>
      </c>
      <c r="E46" s="14" t="inlineStr">
        <is>
          <t>The WO Will be auto Generated based on the Maker Manual Interval</t>
        </is>
      </c>
      <c r="F46" s="15" t="n"/>
      <c r="G46" s="15" t="n"/>
      <c r="H46" s="15" t="n"/>
      <c r="I46" s="15" t="n"/>
      <c r="J46" s="15" t="n"/>
      <c r="K46" s="15" t="n"/>
      <c r="L46" s="9" t="n"/>
    </row>
    <row r="47" ht="31.95" customHeight="1" s="17">
      <c r="A47" s="1" t="inlineStr">
        <is>
          <t>Due</t>
        </is>
      </c>
      <c r="B47" s="11" t="n">
        <v>200</v>
      </c>
      <c r="C47" s="14" t="inlineStr">
        <is>
          <t>In Progress</t>
        </is>
      </c>
      <c r="D47" s="9" t="n">
        <v>46294</v>
      </c>
      <c r="E47" s="14" t="inlineStr">
        <is>
          <t>The WO Will be auto Generated based on the Maker Manual Interval</t>
        </is>
      </c>
      <c r="F47" s="15" t="n"/>
      <c r="G47" s="15" t="n"/>
      <c r="H47" s="15" t="n"/>
      <c r="I47" s="15" t="n"/>
      <c r="J47" s="15" t="n"/>
      <c r="K47" s="15" t="n"/>
      <c r="L47" s="9" t="n"/>
    </row>
    <row r="48" ht="31.95" customHeight="1" s="17">
      <c r="A48" s="1" t="inlineStr">
        <is>
          <t>Overdue</t>
        </is>
      </c>
      <c r="B48" s="11" t="n">
        <v>500</v>
      </c>
      <c r="C48" s="14" t="inlineStr">
        <is>
          <t>In Progress</t>
        </is>
      </c>
      <c r="D48" s="9" t="n">
        <v>46294</v>
      </c>
      <c r="E48" s="14" t="inlineStr">
        <is>
          <t>The WO Will be auto Generated based on the Maker Manual Interval</t>
        </is>
      </c>
      <c r="F48" s="15" t="n"/>
      <c r="G48" s="15" t="n"/>
      <c r="H48" s="15" t="n"/>
      <c r="I48" s="15" t="n"/>
      <c r="J48" s="15" t="n"/>
      <c r="K48" s="15" t="n"/>
      <c r="L48" s="9" t="n"/>
    </row>
    <row r="49" ht="31.95" customHeight="1" s="17">
      <c r="A49" s="1" t="inlineStr">
        <is>
          <t>Active</t>
        </is>
      </c>
      <c r="B49" s="11" t="n">
        <v>200</v>
      </c>
      <c r="C49" s="14" t="inlineStr">
        <is>
          <t>In Progress</t>
        </is>
      </c>
      <c r="D49" s="9" t="n">
        <v>46294</v>
      </c>
      <c r="E49" s="14" t="inlineStr">
        <is>
          <t>The WO Will be auto Generated based on the Maker Manual Interval</t>
        </is>
      </c>
      <c r="F49" s="15" t="n"/>
      <c r="G49" s="15" t="n"/>
      <c r="H49" s="15" t="n"/>
      <c r="I49" s="15" t="n"/>
      <c r="J49" s="15" t="n"/>
      <c r="K49" s="15" t="n"/>
      <c r="L49" s="9" t="n"/>
    </row>
    <row r="50" ht="31.95" customHeight="1" s="17">
      <c r="A50" s="1" t="inlineStr">
        <is>
          <t>Pending approval</t>
        </is>
      </c>
      <c r="B50" s="11" t="n">
        <v>200</v>
      </c>
      <c r="C50" s="14" t="inlineStr">
        <is>
          <t>In Progress</t>
        </is>
      </c>
      <c r="D50" s="9" t="n">
        <v>46294</v>
      </c>
      <c r="E50" s="14" t="inlineStr">
        <is>
          <t>The WO Will be auto Generated based on the Maker Manual Interval</t>
        </is>
      </c>
      <c r="F50" s="15" t="n"/>
      <c r="G50" s="15" t="n"/>
      <c r="H50" s="15" t="n"/>
      <c r="I50" s="15" t="n"/>
      <c r="J50" s="15" t="n"/>
      <c r="K50" s="15" t="n"/>
      <c r="L50" s="9" t="n"/>
    </row>
    <row r="51" ht="31.95" customHeight="1" s="17">
      <c r="A51" s="1" t="inlineStr">
        <is>
          <t>Completed</t>
        </is>
      </c>
      <c r="B51" s="11" t="n">
        <v>6500</v>
      </c>
      <c r="C51" s="14" t="inlineStr">
        <is>
          <t>Completed</t>
        </is>
      </c>
      <c r="D51" s="9" t="n">
        <v>46294</v>
      </c>
      <c r="E51" s="14" t="inlineStr">
        <is>
          <t>The WO Will be auto Generated based on the Maker Manual Interval</t>
        </is>
      </c>
      <c r="F51" s="15" t="n"/>
      <c r="G51" s="15" t="n"/>
      <c r="H51" s="15" t="n"/>
      <c r="I51" s="15" t="n"/>
      <c r="J51" s="15" t="n"/>
      <c r="K51" s="15" t="n"/>
      <c r="L51" s="9" t="n"/>
    </row>
    <row r="52" ht="30" customHeight="1" s="17">
      <c r="A52" s="28" t="inlineStr">
        <is>
          <t>Counts may overlap: one job can generate multiple work orders over several cycles.</t>
        </is>
      </c>
    </row>
    <row r="54" ht="22.05" customHeight="1" s="17">
      <c r="A54" s="16" t="inlineStr">
        <is>
          <t>06  /  VESSEL ACTION — RUNNING-HOURS DETAILS</t>
        </is>
      </c>
    </row>
    <row r="55" ht="42" customHeight="1" s="17">
      <c r="A55" s="31" t="inlineStr">
        <is>
          <t>Machinery scope</t>
        </is>
      </c>
      <c r="B55" s="31" t="inlineStr">
        <is>
          <t>RH machinery created</t>
        </is>
      </c>
      <c r="C55" s="31" t="inlineStr">
        <is>
          <t>Vessel RH details updated</t>
        </is>
      </c>
      <c r="D55" s="31" t="inlineStr">
        <is>
          <t>RH details pending</t>
        </is>
      </c>
      <c r="E55" s="31" t="inlineStr">
        <is>
          <t>Updated %</t>
        </is>
      </c>
      <c r="F55" s="31" t="inlineStr">
        <is>
          <t>Status</t>
        </is>
      </c>
      <c r="G55" s="31" t="inlineStr">
        <is>
          <t>Updated</t>
        </is>
      </c>
      <c r="H55" s="31" t="inlineStr">
        <is>
          <t>Target</t>
        </is>
      </c>
      <c r="I55" s="31" t="inlineStr">
        <is>
          <t>Notes</t>
        </is>
      </c>
      <c r="J55" s="33" t="n"/>
      <c r="K55" s="32" t="n"/>
      <c r="L55" s="31" t="n"/>
    </row>
    <row r="56" ht="36" customHeight="1" s="17">
      <c r="A56" s="1" t="inlineStr">
        <is>
          <t>RH Machinery</t>
        </is>
      </c>
      <c r="B56" s="11" t="n">
        <v>42</v>
      </c>
      <c r="C56" s="11" t="n">
        <v>40</v>
      </c>
      <c r="D56" s="12">
        <f>IF(AND(ISNUMBER(B56),ISNUMBER(C56),C56&lt;=B56),B56-C56,"")</f>
        <v/>
      </c>
      <c r="E56" s="13">
        <f>IF(AND(ISNUMBER(C56),ISNUMBER(B56),B56&gt;0,C56&lt;=B56),C56/B56,"")</f>
        <v/>
      </c>
      <c r="F56" s="14" t="inlineStr">
        <is>
          <t>Pending Wah Kwong Action</t>
        </is>
      </c>
      <c r="G56" s="3" t="n"/>
      <c r="H56" s="3" t="n"/>
      <c r="I56" s="14" t="inlineStr">
        <is>
          <t>Vessel RH details remain pending for 2 components.</t>
        </is>
      </c>
      <c r="J56" s="15" t="n"/>
      <c r="K56" s="15" t="n"/>
      <c r="L56" s="14" t="n"/>
    </row>
    <row r="57" ht="30" customHeight="1" s="17">
      <c r="A57" s="28" t="inlineStr">
        <is>
          <t>Created = RH machinery in scope. Updated = records with vessel-entered hours. Pending and percentage calculate from confirmed counts.</t>
        </is>
      </c>
    </row>
    <row r="59" ht="4.95" customHeight="1" s="17">
      <c r="A59" s="16" t="n"/>
    </row>
    <row r="60">
      <c r="A60" s="28" t="inlineStr">
        <is>
          <t>Set reporting details on Dashboard. Confirm quantities with source owners before sharing; this workbook is not connected to live SAIL PMS data.</t>
        </is>
      </c>
    </row>
  </sheetData>
  <mergeCells count="51">
    <mergeCell ref="J39:K39"/>
    <mergeCell ref="E45:K45"/>
    <mergeCell ref="C17:F17"/>
    <mergeCell ref="J29:K29"/>
    <mergeCell ref="J38:K38"/>
    <mergeCell ref="J10:K10"/>
    <mergeCell ref="J37:K37"/>
    <mergeCell ref="I56:K56"/>
    <mergeCell ref="J28:K28"/>
    <mergeCell ref="A60:K60"/>
    <mergeCell ref="J40:K40"/>
    <mergeCell ref="J9:K9"/>
    <mergeCell ref="I55:K55"/>
    <mergeCell ref="J30:K30"/>
    <mergeCell ref="E47:K47"/>
    <mergeCell ref="J34:K34"/>
    <mergeCell ref="J6:K6"/>
    <mergeCell ref="A54:K54"/>
    <mergeCell ref="J15:K15"/>
    <mergeCell ref="A25:K25"/>
    <mergeCell ref="E50:K50"/>
    <mergeCell ref="C15:F15"/>
    <mergeCell ref="J36:K36"/>
    <mergeCell ref="A27:K27"/>
    <mergeCell ref="J35:K35"/>
    <mergeCell ref="A12:K12"/>
    <mergeCell ref="J11:K11"/>
    <mergeCell ref="A18:K18"/>
    <mergeCell ref="A3:K3"/>
    <mergeCell ref="E48:K48"/>
    <mergeCell ref="J16:K16"/>
    <mergeCell ref="J32:K32"/>
    <mergeCell ref="A57:K57"/>
    <mergeCell ref="J7:K7"/>
    <mergeCell ref="J41:K41"/>
    <mergeCell ref="C16:F16"/>
    <mergeCell ref="E51:K51"/>
    <mergeCell ref="A42:K42"/>
    <mergeCell ref="J31:K31"/>
    <mergeCell ref="A14:K14"/>
    <mergeCell ref="A5:K5"/>
    <mergeCell ref="A1:K2"/>
    <mergeCell ref="A4:K4"/>
    <mergeCell ref="A20:K20"/>
    <mergeCell ref="J33:K33"/>
    <mergeCell ref="A52:K52"/>
    <mergeCell ref="E46:K46"/>
    <mergeCell ref="A44:K44"/>
    <mergeCell ref="J8:K8"/>
    <mergeCell ref="E49:K49"/>
    <mergeCell ref="J17:K17"/>
  </mergeCells>
  <conditionalFormatting sqref="B7:B11">
    <cfRule type="expression" priority="9" dxfId="0">
      <formula>AND(ISNUMBER(B7),ISNUMBER(AA7),B7&gt;AA7)</formula>
    </cfRule>
  </conditionalFormatting>
  <conditionalFormatting sqref="B22:B24">
    <cfRule type="expression" priority="11" dxfId="0">
      <formula>AND(ISNUMBER(B22),ISNUMBER(AA22),B22&gt;AA22)</formula>
    </cfRule>
  </conditionalFormatting>
  <conditionalFormatting sqref="C7:C11">
    <cfRule type="expression" priority="10" dxfId="0">
      <formula>AND(ISNUMBER(C7),ISNUMBER(B7),C7&gt;B7)</formula>
    </cfRule>
  </conditionalFormatting>
  <conditionalFormatting sqref="C22:C24">
    <cfRule type="expression" priority="12" dxfId="0">
      <formula>AND(ISNUMBER(C22),ISNUMBER(B22),C22&gt;B22)</formula>
    </cfRule>
  </conditionalFormatting>
  <conditionalFormatting sqref="C56">
    <cfRule type="expression" priority="14" dxfId="0">
      <formula>AND(ISNUMBER(C56),ISNUMBER(B56),C56&gt;B56)</formula>
    </cfRule>
  </conditionalFormatting>
  <conditionalFormatting sqref="E56">
    <cfRule type="dataBar" priority="17">
      <dataBar>
        <cfvo type="num" val="0"/>
        <cfvo type="num" val="1"/>
        <color rgb="FF4BA6AA"/>
      </dataBar>
    </cfRule>
  </conditionalFormatting>
  <conditionalFormatting sqref="E7:F11">
    <cfRule type="dataBar" priority="15">
      <dataBar>
        <cfvo type="num" val="0"/>
        <cfvo type="num" val="1"/>
        <color rgb="FF4BA6AA"/>
      </dataBar>
    </cfRule>
  </conditionalFormatting>
  <conditionalFormatting sqref="F22:G24">
    <cfRule type="dataBar" priority="16">
      <dataBar>
        <cfvo type="num" val="0"/>
        <cfvo type="num" val="1"/>
        <color rgb="FF4BA6AA"/>
      </dataBar>
    </cfRule>
  </conditionalFormatting>
  <conditionalFormatting sqref="E29:E41">
    <cfRule type="dataBar" priority="10">
      <dataBar showValue="1">
        <cfvo type="num" val="0"/>
        <cfvo type="num" val="1"/>
        <color rgb="0063C384"/>
      </dataBar>
    </cfRule>
  </conditionalFormatting>
  <dataValidations count="7">
    <dataValidation sqref="B7:C11 B16:B17 B22:C24 B46:B51 B56:C56" showDropDown="0" showInputMessage="1" showErrorMessage="1" allowBlank="1" errorTitle="Nonnegative count required" error="Enter a confirmed whole number or leave blank." type="whole" operator="greaterThanOrEqual">
      <formula1>0</formula1>
    </dataValidation>
    <dataValidation sqref="C46:C51 F56 G7:G11 G16:G17 H22:H24" showDropDown="0" showInputMessage="1" showErrorMessage="1" allowBlank="1" type="list">
      <formula1>"Not Started,In Progress,Partially Completed,Completed,Pending Wah Kwong Input,Pending Wah Kwong Action,Pending SAIL Action,Pending Review,On Hold,Not Applicable"</formula1>
    </dataValidation>
    <dataValidation sqref="F29:F41" showDropDown="0" showInputMessage="1" showErrorMessage="1" allowBlank="1" type="list">
      <formula1>"High,Medium,Low"</formula1>
    </dataValidation>
    <dataValidation sqref="G29:I41 G56:H56 H16:I17 I22:J24" showDropDown="0" showInputMessage="1" showErrorMessage="1" allowBlank="1" type="date">
      <formula1>1900-1-1</formula1>
      <formula2>2100-12-31</formula2>
    </dataValidation>
    <dataValidation sqref="H7:I11" showDropDown="0" showInputMessage="0" showErrorMessage="1" allowBlank="1" errorTitle="Valid date required" error="Enter a date between 1 Jan 1900 and 31 Dec 2100." promptTitle="Enter a date" prompt="Use the displayed format dd mmm yyyy, for example 29 Sep 2026." type="date">
      <formula1>1900-1-1</formula1>
      <formula2>2100-12-31</formula2>
    </dataValidation>
    <dataValidation sqref="D29:D41" showDropDown="0" showInputMessage="1" showErrorMessage="1" allowBlank="1" errorTitle="Choose a listed status" error="Select Yes, In Progress or N." promptTitle="WK completion" prompt="Yes = full weight; In Progress = half weight; N = zero." type="list">
      <formula1>"Yes,In Progress,N"</formula1>
    </dataValidation>
    <dataValidation sqref="C29:C41" showDropDown="0" showInputMessage="0" showErrorMessage="1" allowBlank="1" errorTitle="Enter a percentage from 0% to 100%" error="Enter a percentage between 0% and 100%." type="decimal" operator="between">
      <formula1>0</formula1>
      <formula2>1</formula2>
    </dataValidation>
  </dataValidations>
  <pageMargins left="0.25" right="0.25" top="0.5" bottom="0.5" header="0.2" footer="0.2"/>
  <pageSetup orientation="landscape" fitToHeight="0"/>
  <headerFooter>
    <oddHeader/>
    <oddFooter>&amp;CSAIL PMS • Update Tracker     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SAIL PMS Project Progress Report</dc:title>
  <dc:description xmlns:dc="http://purl.org/dc/elements/1.1/">Source categories: supplied SAIL weekly tracker, PMS data building quantification and report brief.</dc:description>
  <dc:subject xmlns:dc="http://purl.org/dc/elements/1.1/">Editable stakeholder update; no unverified operational values</dc:subject>
  <dcterms:created xmlns:dcterms="http://purl.org/dc/terms/" xmlns:xsi="http://www.w3.org/2001/XMLSchema-instance" xsi:type="dcterms:W3CDTF">2026-09-29T09:38:03Z</dcterms:created>
  <dcterms:modified xmlns:dcterms="http://purl.org/dc/terms/" xmlns:xsi="http://www.w3.org/2001/XMLSchema-instance" xsi:type="dcterms:W3CDTF">2026-10-01T04:16:32Z</dcterms:modified>
  <cp:lastModifiedBy>Jeevan Naik</cp:lastModifiedBy>
</cp:coreProperties>
</file>