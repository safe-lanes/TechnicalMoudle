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sma\Videos\Safe lanes\g1\"/>
    </mc:Choice>
  </mc:AlternateContent>
  <xr:revisionPtr revIDLastSave="0" documentId="8_{CEDB35D0-3A59-4594-9550-EEEF6674B47D}" xr6:coauthVersionLast="47" xr6:coauthVersionMax="47" xr10:uidLastSave="{00000000-0000-0000-0000-000000000000}"/>
  <bookViews>
    <workbookView xWindow="-108" yWindow="-108" windowWidth="23256" windowHeight="12456" xr2:uid="{30EEEB89-23A5-4689-8318-713E6D166FA5}"/>
  </bookViews>
  <sheets>
    <sheet name="Vessel_Component Sheet" sheetId="1" r:id="rId1"/>
  </sheets>
  <externalReferences>
    <externalReference r:id="rId2"/>
  </externalReferences>
  <definedNames>
    <definedName name="_xlnm._FilterDatabase" localSheetId="0" hidden="1">'Vessel_Component Sheet'!$A$1:$W$66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7" i="1" l="1"/>
  <c r="J57" i="1" s="1"/>
  <c r="A57" i="1" s="1"/>
  <c r="H56" i="1"/>
  <c r="J56" i="1" s="1"/>
  <c r="A56" i="1" s="1"/>
  <c r="H54" i="1"/>
  <c r="J54" i="1" s="1"/>
  <c r="A54" i="1" s="1"/>
  <c r="J53" i="1"/>
  <c r="A53" i="1" s="1"/>
  <c r="H53" i="1"/>
  <c r="H48" i="1"/>
  <c r="J48" i="1" s="1"/>
  <c r="A48" i="1" s="1"/>
  <c r="H47" i="1"/>
  <c r="J47" i="1" s="1"/>
  <c r="A47" i="1" s="1"/>
  <c r="H42" i="1"/>
  <c r="H41" i="1"/>
  <c r="H40" i="1"/>
  <c r="H39" i="1"/>
  <c r="H38" i="1"/>
  <c r="H37" i="1"/>
  <c r="H35" i="1"/>
  <c r="J35" i="1" s="1"/>
  <c r="A35" i="1" s="1"/>
  <c r="H33" i="1"/>
  <c r="H32" i="1"/>
  <c r="H31" i="1"/>
  <c r="H30" i="1"/>
  <c r="H29" i="1"/>
  <c r="H28" i="1"/>
  <c r="J26" i="1"/>
  <c r="A26" i="1" s="1"/>
  <c r="H26" i="1"/>
  <c r="H24" i="1"/>
  <c r="H23" i="1"/>
  <c r="H22" i="1"/>
  <c r="H21" i="1"/>
  <c r="H20" i="1"/>
  <c r="H19" i="1"/>
  <c r="J17" i="1"/>
  <c r="A17" i="1" s="1"/>
  <c r="H17" i="1"/>
  <c r="H14" i="1"/>
  <c r="H13" i="1"/>
  <c r="H12" i="1"/>
  <c r="H11" i="1"/>
  <c r="H10" i="1"/>
  <c r="H9" i="1"/>
  <c r="H7" i="1"/>
  <c r="J7" i="1" s="1"/>
  <c r="A7" i="1" s="1"/>
</calcChain>
</file>

<file path=xl/sharedStrings.xml><?xml version="1.0" encoding="utf-8"?>
<sst xmlns="http://schemas.openxmlformats.org/spreadsheetml/2006/main" count="561" uniqueCount="170">
  <si>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</si>
  <si>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</si>
  <si>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</si>
  <si>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</si>
  <si>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</si>
  <si>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</si>
  <si>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</si>
  <si>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</si>
  <si>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</si>
  <si>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Number</t>
  </si>
  <si>
    <t>Serial No</t>
  </si>
  <si>
    <t>Drawing No</t>
  </si>
  <si>
    <t>Location</t>
  </si>
  <si>
    <t>Critical (Yes/No)</t>
  </si>
  <si>
    <t>Condition Based (Yes/No)</t>
  </si>
  <si>
    <t>Installation Date</t>
  </si>
  <si>
    <t>Commissioned Date</t>
  </si>
  <si>
    <t>Rating</t>
  </si>
  <si>
    <t>Eqpt / System Department</t>
  </si>
  <si>
    <t>Notes</t>
  </si>
  <si>
    <t>Running Hours</t>
  </si>
  <si>
    <t>IS Active</t>
  </si>
  <si>
    <t>Vessel Code</t>
  </si>
  <si>
    <t>Existing Code or blank</t>
  </si>
  <si>
    <t>Required, Unique</t>
  </si>
  <si>
    <t>Text</t>
  </si>
  <si>
    <t>Yes/No</t>
  </si>
  <si>
    <t>DD-MM-YYYY</t>
  </si>
  <si>
    <t>Number &gt;= 0</t>
  </si>
  <si>
    <t>Text/Number</t>
  </si>
  <si>
    <t>Unique Code Created For Each Maker+Model</t>
  </si>
  <si>
    <t>7 Digit SFI Name</t>
  </si>
  <si>
    <t>To Create Tree Structure</t>
  </si>
  <si>
    <t>Required, Unique/ Maximum Allowable Character Length is 10</t>
  </si>
  <si>
    <t>Select the Relevant Component Category from the Master Data_Component Sheet</t>
  </si>
  <si>
    <t>As Per the Manufacture Manuals</t>
  </si>
  <si>
    <t>From the maker List</t>
  </si>
  <si>
    <t>Combination of Maker Code and Model</t>
  </si>
  <si>
    <t>6</t>
  </si>
  <si>
    <t>MACHINERY MAIN COMPONENTS</t>
  </si>
  <si>
    <t>60</t>
  </si>
  <si>
    <t xml:space="preserve">DIESEL ENGINES FOR PROPULSION </t>
  </si>
  <si>
    <t>601</t>
  </si>
  <si>
    <t xml:space="preserve">DIESEL ENGINES </t>
  </si>
  <si>
    <t>Main diesel engine, compl.</t>
  </si>
  <si>
    <t>601.001</t>
  </si>
  <si>
    <t>Main Engine</t>
  </si>
  <si>
    <t>Engine Department</t>
  </si>
  <si>
    <t>MAN B&amp;W</t>
  </si>
  <si>
    <t>6S60MC-C</t>
  </si>
  <si>
    <t>12345</t>
  </si>
  <si>
    <t>DRW-001</t>
  </si>
  <si>
    <t>Engine Room</t>
  </si>
  <si>
    <t>Yes</t>
  </si>
  <si>
    <t>01-01-2020</t>
  </si>
  <si>
    <t>15-03-2020</t>
  </si>
  <si>
    <t>15000 kW</t>
  </si>
  <si>
    <t>Engineering</t>
  </si>
  <si>
    <t>Main propulsion engine</t>
  </si>
  <si>
    <t>601.002</t>
  </si>
  <si>
    <t>ME Cylinder Cover W/Valves</t>
  </si>
  <si>
    <t>601.002.AA</t>
  </si>
  <si>
    <t>ME cylinder covers w/valves</t>
  </si>
  <si>
    <t>601.002.01</t>
  </si>
  <si>
    <t>ME Cylinder Cover W/Valve No.1</t>
  </si>
  <si>
    <t>No</t>
  </si>
  <si>
    <t>601.002.02</t>
  </si>
  <si>
    <t>ME Cylinder Cover W/Valve No.2</t>
  </si>
  <si>
    <t>601.002.03</t>
  </si>
  <si>
    <t>ME Cylinder Cover W/Valve No.3</t>
  </si>
  <si>
    <t>601.002.04</t>
  </si>
  <si>
    <t>ME Cylinder Cover W/Valve No.4</t>
  </si>
  <si>
    <t>601.002.05</t>
  </si>
  <si>
    <t>ME Cylinder Cover W/Valve No.5</t>
  </si>
  <si>
    <t>601.002.06</t>
  </si>
  <si>
    <t>ME Cylinder Cover W/Valve No.6</t>
  </si>
  <si>
    <t>65</t>
  </si>
  <si>
    <t>MOTOR AGGREGATES FOR MAIN ELECTRIC POWER PRODUCTION</t>
  </si>
  <si>
    <t>651</t>
  </si>
  <si>
    <t>MOTOR AGGREGATES</t>
  </si>
  <si>
    <t>Aux. diesel generator aggregates, complete</t>
  </si>
  <si>
    <t>651.001</t>
  </si>
  <si>
    <t>Aux Engine No.1</t>
  </si>
  <si>
    <t>YANMAR</t>
  </si>
  <si>
    <t>YANMAR-621-ADV</t>
  </si>
  <si>
    <t>651.002</t>
  </si>
  <si>
    <t>AE 1 Cylinder Heads With Valves</t>
  </si>
  <si>
    <t>651.002.AA</t>
  </si>
  <si>
    <t>AE cylinder covers w/valves</t>
  </si>
  <si>
    <t>651.002.01</t>
  </si>
  <si>
    <t>AE 1 Cylinder Head Unit No.1</t>
  </si>
  <si>
    <t>651.002.02</t>
  </si>
  <si>
    <t>AE 1 Cylinder Head Unit No.2</t>
  </si>
  <si>
    <t>651.002.03</t>
  </si>
  <si>
    <t>AE 1 Cylinder Head Unit No.3</t>
  </si>
  <si>
    <t>651.002.04</t>
  </si>
  <si>
    <t>AE 1 Cylinder Head Unit No.4</t>
  </si>
  <si>
    <t>651.002.05</t>
  </si>
  <si>
    <t>AE 1 Cylinder Head Unit No.5</t>
  </si>
  <si>
    <t>651.002.06</t>
  </si>
  <si>
    <t>AE 1 Cylinder Head Unit No.6</t>
  </si>
  <si>
    <t>652</t>
  </si>
  <si>
    <t>652.001</t>
  </si>
  <si>
    <t>Aux Engine No.2</t>
  </si>
  <si>
    <t>652.002(1)</t>
  </si>
  <si>
    <t>AE 2 Cylinder Heads With Valves</t>
  </si>
  <si>
    <t>652.002</t>
  </si>
  <si>
    <t>652.002.01</t>
  </si>
  <si>
    <t>AE 2 Cylinder Head Unit No.1</t>
  </si>
  <si>
    <t>652.002.02</t>
  </si>
  <si>
    <t>AE 2 Cylinder Head Unit No.2</t>
  </si>
  <si>
    <t>652.002.03</t>
  </si>
  <si>
    <t>AE 2 Cylinder Head Unit No.3</t>
  </si>
  <si>
    <t>652.002.04</t>
  </si>
  <si>
    <t>AE 2 Cylinder Head Unit No.4</t>
  </si>
  <si>
    <t>652.002.05</t>
  </si>
  <si>
    <t>AE 2 Cylinder Head Unit No.5</t>
  </si>
  <si>
    <t>652.002.06</t>
  </si>
  <si>
    <t>AE 2 Cylinder Head Unit No.6</t>
  </si>
  <si>
    <t>653</t>
  </si>
  <si>
    <t>653.001</t>
  </si>
  <si>
    <t>Aux Engine No.3</t>
  </si>
  <si>
    <t>653.002</t>
  </si>
  <si>
    <t>AE 3 Cylinder Heads With Valves</t>
  </si>
  <si>
    <t>653.002.01</t>
  </si>
  <si>
    <t>AE 3 Cylinder Head Unit No.1</t>
  </si>
  <si>
    <t>653.002.02</t>
  </si>
  <si>
    <t>AE 3 Cylinder Head Unit No.2</t>
  </si>
  <si>
    <t>653.002.03</t>
  </si>
  <si>
    <t>AE 3 Cylinder Head Unit No.3</t>
  </si>
  <si>
    <t>653.002.04</t>
  </si>
  <si>
    <t>AE 3 Cylinder Head Unit No.4</t>
  </si>
  <si>
    <t>653.002.05</t>
  </si>
  <si>
    <t>AE 3 Cylinder Head Unit No.5</t>
  </si>
  <si>
    <t>653.002.06</t>
  </si>
  <si>
    <t>AE 3 Cylinder Head Unit No.6</t>
  </si>
  <si>
    <t>7</t>
  </si>
  <si>
    <t>SYSTEMS FOR MACHINERY MAIN COMPONENTS</t>
  </si>
  <si>
    <t>72</t>
  </si>
  <si>
    <t>COOLING WATER SYSTEM</t>
  </si>
  <si>
    <t>721</t>
  </si>
  <si>
    <t>SEA COOLING WATER SYSTEM</t>
  </si>
  <si>
    <t>721.001</t>
  </si>
  <si>
    <t>Main Cooling SW Pump</t>
  </si>
  <si>
    <t>Main SW cooling pumps</t>
  </si>
  <si>
    <t>721.001.01</t>
  </si>
  <si>
    <t>Main Cooling SW Pump No.1</t>
  </si>
  <si>
    <t>DESMI</t>
  </si>
  <si>
    <t>NSLH65-215/-09</t>
  </si>
  <si>
    <t>721.001.02</t>
  </si>
  <si>
    <t>Main Cooling SW Pump No.2</t>
  </si>
  <si>
    <t>898</t>
  </si>
  <si>
    <t>Electric Motors</t>
  </si>
  <si>
    <t>898.001</t>
  </si>
  <si>
    <t>El. Motor, Main Cooling SW Pump</t>
  </si>
  <si>
    <t>El. Motor, Main SW cooling pump</t>
  </si>
  <si>
    <t>898.001.01</t>
  </si>
  <si>
    <t>El. Motor, Main Cooling SW Pump No.1</t>
  </si>
  <si>
    <t>Electrical Department</t>
  </si>
  <si>
    <t>HOYAR</t>
  </si>
  <si>
    <t>HNC3 225S</t>
  </si>
  <si>
    <t>898.001.02</t>
  </si>
  <si>
    <t>El. Motor, Main Cooling SW Pump No.2</t>
  </si>
  <si>
    <t>722</t>
  </si>
  <si>
    <t>FW COOLING WATER SYSTEM</t>
  </si>
  <si>
    <t>722.001</t>
  </si>
  <si>
    <t>Jacket Cooling FW Pump</t>
  </si>
  <si>
    <t>NSLH55-215</t>
  </si>
  <si>
    <t>898.002</t>
  </si>
  <si>
    <t>El. Motor, Jacket Cooling FW Pump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</si>
</sst>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4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quotePrefix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afelanesin-my.sharepoint.com/personal/jeevan_naik_safe-lanes_com/Documents/Template_Sample_G1%20-%2005_11_Rev.xlsx" TargetMode="External"/><Relationship Id="rId1" Type="http://schemas.openxmlformats.org/officeDocument/2006/relationships/externalLinkPath" Target="https://safelanesin-my.sharepoint.com/personal/jeevan_naik_safe-lanes_com/Documents/Template_Sample_G1%20-%2005_1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_Fleet Equipment Keys"/>
      <sheetName val="Components_Sample Template"/>
      <sheetName val="Maker List"/>
      <sheetName val="Master Data_Components"/>
      <sheetName val="Jobs_Sample Template"/>
      <sheetName val="Master Data_Jobs"/>
      <sheetName val="Spares_Sample Template"/>
      <sheetName val="Stores"/>
      <sheetName val="Rough Work"/>
    </sheetNames>
    <sheetDataSet>
      <sheetData sheetId="0">
        <row r="1">
          <cell r="F1" t="str">
            <v>Model Number</v>
          </cell>
          <cell r="H1" t="str">
            <v>Fleet Equipment Code</v>
          </cell>
        </row>
        <row r="2">
          <cell r="F2" t="str">
            <v>8210000001-6S60MC-C</v>
          </cell>
          <cell r="H2" t="str">
            <v>601.001.AA</v>
          </cell>
        </row>
        <row r="3">
          <cell r="F3" t="str">
            <v>8210000001-7S60MC-C</v>
          </cell>
          <cell r="H3" t="str">
            <v>601.001.AB</v>
          </cell>
        </row>
        <row r="4">
          <cell r="F4" t="str">
            <v>8210000002-6LY-CR Series</v>
          </cell>
          <cell r="H4" t="str">
            <v>651.001.AA</v>
          </cell>
        </row>
        <row r="5">
          <cell r="F5" t="str">
            <v>8210000003-NSLH65-215/-09</v>
          </cell>
          <cell r="H5" t="str">
            <v>721.001.AA</v>
          </cell>
        </row>
        <row r="6">
          <cell r="F6" t="str">
            <v>8210000002-YANMAR-621-ADV</v>
          </cell>
          <cell r="H6" t="str">
            <v>651.001.AB</v>
          </cell>
        </row>
        <row r="7">
          <cell r="F7" t="str">
            <v>8210000004-HNC3 225S</v>
          </cell>
          <cell r="H7" t="str">
            <v>898.001.AA</v>
          </cell>
        </row>
        <row r="8">
          <cell r="F8" t="str">
            <v>8210000003-NSLH55-215</v>
          </cell>
          <cell r="H8" t="str">
            <v>722.001.AB</v>
          </cell>
        </row>
      </sheetData>
      <sheetData sheetId="1">
        <row r="1">
          <cell r="K1" t="str">
            <v>Model Number</v>
          </cell>
        </row>
      </sheetData>
      <sheetData sheetId="2">
        <row r="1">
          <cell r="A1" t="str">
            <v>Maker Code</v>
          </cell>
          <cell r="B1" t="str">
            <v>Maker Name</v>
          </cell>
        </row>
        <row r="2">
          <cell r="A2" t="str">
            <v>Unique Number For the Each Maker</v>
          </cell>
        </row>
        <row r="3">
          <cell r="A3">
            <v>8210000001</v>
          </cell>
          <cell r="B3" t="str">
            <v>MAN B&amp;W</v>
          </cell>
        </row>
        <row r="4">
          <cell r="A4">
            <v>8210000002</v>
          </cell>
          <cell r="B4" t="str">
            <v>YANMAR</v>
          </cell>
        </row>
        <row r="5">
          <cell r="A5">
            <v>8210000003</v>
          </cell>
          <cell r="B5" t="str">
            <v>DESMI</v>
          </cell>
        </row>
        <row r="6">
          <cell r="A6">
            <v>8210000004</v>
          </cell>
          <cell r="B6" t="str">
            <v>HOYAR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A81B0-9F5E-46FB-9BF7-F39FB8EC7C3C}">
  <sheetPr>
    <tabColor rgb="FF92D050"/>
  </sheetPr>
  <dimension ref="A1:X57"/>
  <sheetViews>
    <sheetView tabSelected="1" zoomScale="70" zoomScaleNormal="70" workbookViewId="0">
      <selection activeCell="I30" sqref="I30"/>
    </sheetView>
  </sheetViews>
  <sheetFormatPr defaultRowHeight="14.4" x14ac:dyDescent="0.3"/>
  <cols>
    <col min="1" max="1" width="22" style="5" bestFit="1" customWidth="1"/>
    <col min="2" max="2" width="36.6640625" style="5" bestFit="1" customWidth="1"/>
    <col min="3" max="3" width="21.88671875" style="5" bestFit="1" customWidth="1"/>
    <col min="4" max="4" width="20" style="5" bestFit="1" customWidth="1"/>
    <col min="5" max="5" width="56.44140625" style="5" bestFit="1" customWidth="1"/>
    <col min="6" max="6" width="40" style="5" customWidth="1"/>
    <col min="7" max="8" width="14.5546875" style="5" bestFit="1" customWidth="1"/>
    <col min="9" max="9" width="16.33203125" style="5" bestFit="1" customWidth="1"/>
    <col min="10" max="10" width="28.5546875" style="5" bestFit="1" customWidth="1"/>
    <col min="11" max="11" width="10.5546875" style="5" bestFit="1" customWidth="1"/>
    <col min="12" max="12" width="11.5546875" style="5" bestFit="1" customWidth="1"/>
    <col min="13" max="14" width="14.5546875" style="5" bestFit="1" customWidth="1"/>
    <col min="15" max="15" width="22.6640625" style="5" bestFit="1" customWidth="1"/>
    <col min="16" max="16" width="14.6640625" style="5" bestFit="1" customWidth="1"/>
    <col min="17" max="17" width="18" style="5" bestFit="1" customWidth="1"/>
    <col min="18" max="18" width="14.5546875" style="5" bestFit="1" customWidth="1"/>
    <col min="19" max="19" width="27.21875" style="5" bestFit="1" customWidth="1"/>
    <col min="20" max="20" width="20.77734375" style="5" bestFit="1" customWidth="1"/>
    <col min="21" max="21" width="13.44140625" style="5" bestFit="1" customWidth="1"/>
    <col min="22" max="22" width="7.88671875" style="5" bestFit="1" customWidth="1"/>
    <col min="23" max="23" width="14.5546875" style="5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4" x14ac:dyDescent="0.3">
      <c r="A2" s="2"/>
      <c r="B2" s="2"/>
      <c r="C2" s="2" t="s">
        <v>23</v>
      </c>
      <c r="D2" s="2" t="s">
        <v>24</v>
      </c>
      <c r="E2" s="2" t="s">
        <v>25</v>
      </c>
      <c r="F2" s="2" t="s">
        <v>25</v>
      </c>
      <c r="G2" s="2" t="s">
        <v>25</v>
      </c>
      <c r="H2" s="2"/>
      <c r="I2" s="2" t="s">
        <v>25</v>
      </c>
      <c r="J2" s="2"/>
      <c r="K2" s="2" t="s">
        <v>25</v>
      </c>
      <c r="L2" s="2" t="s">
        <v>25</v>
      </c>
      <c r="M2" s="2" t="s">
        <v>25</v>
      </c>
      <c r="N2" s="2" t="s">
        <v>26</v>
      </c>
      <c r="O2" s="2" t="s">
        <v>26</v>
      </c>
      <c r="P2" s="2" t="s">
        <v>27</v>
      </c>
      <c r="Q2" s="2" t="s">
        <v>27</v>
      </c>
      <c r="R2" s="2" t="s">
        <v>25</v>
      </c>
      <c r="S2" s="2" t="s">
        <v>25</v>
      </c>
      <c r="T2" s="2" t="s">
        <v>25</v>
      </c>
      <c r="U2" s="2" t="s">
        <v>28</v>
      </c>
      <c r="V2" s="2" t="s">
        <v>26</v>
      </c>
      <c r="W2" s="2" t="s">
        <v>29</v>
      </c>
    </row>
    <row r="3" spans="1:24" s="4" customFormat="1" ht="43.2" x14ac:dyDescent="0.3">
      <c r="A3" s="3" t="s">
        <v>30</v>
      </c>
      <c r="B3" s="3" t="s">
        <v>31</v>
      </c>
      <c r="C3" s="3" t="s">
        <v>32</v>
      </c>
      <c r="D3" s="3" t="s">
        <v>33</v>
      </c>
      <c r="E3" s="3" t="s">
        <v>25</v>
      </c>
      <c r="F3" s="3" t="s">
        <v>34</v>
      </c>
      <c r="G3" s="3" t="s">
        <v>35</v>
      </c>
      <c r="H3" s="3" t="s">
        <v>36</v>
      </c>
      <c r="I3" s="3" t="s">
        <v>35</v>
      </c>
      <c r="J3" s="3" t="s">
        <v>37</v>
      </c>
      <c r="K3" s="3" t="s">
        <v>35</v>
      </c>
      <c r="L3" s="3" t="s">
        <v>35</v>
      </c>
      <c r="M3" s="3" t="s">
        <v>25</v>
      </c>
      <c r="N3" s="3" t="s">
        <v>26</v>
      </c>
      <c r="O3" s="3" t="s">
        <v>26</v>
      </c>
      <c r="P3" s="3" t="s">
        <v>27</v>
      </c>
      <c r="Q3" s="3" t="s">
        <v>27</v>
      </c>
      <c r="R3" s="3" t="s">
        <v>25</v>
      </c>
      <c r="S3" s="3" t="s">
        <v>34</v>
      </c>
      <c r="T3" s="3" t="s">
        <v>35</v>
      </c>
      <c r="U3" s="3" t="s">
        <v>26</v>
      </c>
      <c r="V3" s="3" t="s">
        <v>26</v>
      </c>
      <c r="W3" s="3" t="s">
        <v>29</v>
      </c>
    </row>
    <row r="4" spans="1:24" x14ac:dyDescent="0.3">
      <c r="C4" s="6"/>
      <c r="D4" s="6" t="s">
        <v>38</v>
      </c>
      <c r="E4" s="5" t="s">
        <v>39</v>
      </c>
    </row>
    <row r="5" spans="1:24" x14ac:dyDescent="0.3">
      <c r="C5" s="6" t="s">
        <v>38</v>
      </c>
      <c r="D5" s="6" t="s">
        <v>40</v>
      </c>
      <c r="E5" s="5" t="s">
        <v>41</v>
      </c>
    </row>
    <row r="6" spans="1:24" x14ac:dyDescent="0.3">
      <c r="C6" s="6" t="s">
        <v>40</v>
      </c>
      <c r="D6" s="6" t="s">
        <v>42</v>
      </c>
      <c r="E6" s="5" t="s">
        <v>43</v>
      </c>
    </row>
    <row r="7" spans="1:24" x14ac:dyDescent="0.3">
      <c r="A7" s="5" t="str">
        <f>_xlfn.XLOOKUP(J7,'[1]Master_Fleet Equipment Keys'!F:F,'[1]Master_Fleet Equipment Keys'!H:H,0,0)</f>
        <v>601.001.AA</v>
      </c>
      <c r="B7" s="5" t="s">
        <v>44</v>
      </c>
      <c r="C7" s="6" t="s">
        <v>42</v>
      </c>
      <c r="D7" s="6" t="s">
        <v>45</v>
      </c>
      <c r="E7" s="5" t="s">
        <v>46</v>
      </c>
      <c r="F7" s="5" t="s">
        <v>47</v>
      </c>
      <c r="G7" s="5" t="s">
        <v>48</v>
      </c>
      <c r="H7" s="5">
        <f>_xlfn.XLOOKUP(G7,'[1]Maker List'!B:B,'[1]Maker List'!A:A,0,0)</f>
        <v>8210000001</v>
      </c>
      <c r="I7" s="5" t="s">
        <v>49</v>
      </c>
      <c r="J7" s="5" t="str">
        <f>H7&amp;"-"&amp;I7</f>
        <v>8210000001-6S60MC-C</v>
      </c>
      <c r="K7" s="5" t="s">
        <v>50</v>
      </c>
      <c r="L7" s="5" t="s">
        <v>51</v>
      </c>
      <c r="M7" s="5" t="s">
        <v>52</v>
      </c>
      <c r="N7" s="5" t="s">
        <v>53</v>
      </c>
      <c r="O7" s="5" t="s">
        <v>53</v>
      </c>
      <c r="P7" s="5" t="s">
        <v>54</v>
      </c>
      <c r="Q7" s="5" t="s">
        <v>55</v>
      </c>
      <c r="R7" s="5" t="s">
        <v>56</v>
      </c>
      <c r="S7" s="5" t="s">
        <v>57</v>
      </c>
      <c r="T7" s="5" t="s">
        <v>58</v>
      </c>
    </row>
    <row r="8" spans="1:24" x14ac:dyDescent="0.3">
      <c r="C8" s="6" t="s">
        <v>45</v>
      </c>
      <c r="D8" s="6" t="s">
        <v>59</v>
      </c>
      <c r="E8" s="5" t="s">
        <v>60</v>
      </c>
    </row>
    <row r="9" spans="1:24" x14ac:dyDescent="0.3">
      <c r="A9" s="6" t="s">
        <v>61</v>
      </c>
      <c r="B9" s="5" t="s">
        <v>62</v>
      </c>
      <c r="C9" s="6" t="s">
        <v>59</v>
      </c>
      <c r="D9" s="6" t="s">
        <v>63</v>
      </c>
      <c r="E9" s="5" t="s">
        <v>64</v>
      </c>
      <c r="F9" s="5" t="s">
        <v>47</v>
      </c>
      <c r="G9" s="5" t="s">
        <v>48</v>
      </c>
      <c r="H9" s="5">
        <f>_xlfn.XLOOKUP(G9,'[1]Maker List'!B:B,'[1]Maker List'!A:A,0,0)</f>
        <v>8210000001</v>
      </c>
      <c r="M9" s="5" t="s">
        <v>52</v>
      </c>
      <c r="N9" s="5" t="s">
        <v>65</v>
      </c>
      <c r="O9" s="5" t="s">
        <v>53</v>
      </c>
      <c r="P9" s="5" t="s">
        <v>54</v>
      </c>
      <c r="Q9" s="5" t="s">
        <v>55</v>
      </c>
      <c r="S9" s="5" t="s">
        <v>57</v>
      </c>
    </row>
    <row r="10" spans="1:24" x14ac:dyDescent="0.3">
      <c r="A10" s="6" t="s">
        <v>61</v>
      </c>
      <c r="B10" s="5" t="s">
        <v>62</v>
      </c>
      <c r="C10" s="6" t="s">
        <v>59</v>
      </c>
      <c r="D10" s="6" t="s">
        <v>66</v>
      </c>
      <c r="E10" s="5" t="s">
        <v>67</v>
      </c>
      <c r="F10" s="5" t="s">
        <v>47</v>
      </c>
      <c r="G10" s="5" t="s">
        <v>48</v>
      </c>
      <c r="H10" s="5">
        <f>_xlfn.XLOOKUP(G10,'[1]Maker List'!B:B,'[1]Maker List'!A:A,0,0)</f>
        <v>8210000001</v>
      </c>
      <c r="M10" s="5" t="s">
        <v>52</v>
      </c>
      <c r="N10" s="5" t="s">
        <v>65</v>
      </c>
      <c r="O10" s="5" t="s">
        <v>53</v>
      </c>
      <c r="P10" s="5" t="s">
        <v>54</v>
      </c>
      <c r="Q10" s="5" t="s">
        <v>55</v>
      </c>
      <c r="S10" s="5" t="s">
        <v>57</v>
      </c>
    </row>
    <row r="11" spans="1:24" x14ac:dyDescent="0.3">
      <c r="A11" s="6" t="s">
        <v>61</v>
      </c>
      <c r="B11" s="5" t="s">
        <v>62</v>
      </c>
      <c r="C11" s="6" t="s">
        <v>59</v>
      </c>
      <c r="D11" s="6" t="s">
        <v>68</v>
      </c>
      <c r="E11" s="5" t="s">
        <v>69</v>
      </c>
      <c r="F11" s="5" t="s">
        <v>47</v>
      </c>
      <c r="G11" s="5" t="s">
        <v>48</v>
      </c>
      <c r="H11" s="5">
        <f>_xlfn.XLOOKUP(G11,'[1]Maker List'!B:B,'[1]Maker List'!A:A,0,0)</f>
        <v>8210000001</v>
      </c>
      <c r="M11" s="5" t="s">
        <v>52</v>
      </c>
      <c r="N11" s="5" t="s">
        <v>65</v>
      </c>
      <c r="O11" s="5" t="s">
        <v>53</v>
      </c>
      <c r="P11" s="5" t="s">
        <v>54</v>
      </c>
      <c r="Q11" s="5" t="s">
        <v>55</v>
      </c>
      <c r="S11" s="5" t="s">
        <v>57</v>
      </c>
    </row>
    <row r="12" spans="1:24" x14ac:dyDescent="0.3">
      <c r="A12" s="6" t="s">
        <v>61</v>
      </c>
      <c r="B12" s="5" t="s">
        <v>62</v>
      </c>
      <c r="C12" s="6" t="s">
        <v>59</v>
      </c>
      <c r="D12" s="6" t="s">
        <v>70</v>
      </c>
      <c r="E12" s="5" t="s">
        <v>71</v>
      </c>
      <c r="F12" s="5" t="s">
        <v>47</v>
      </c>
      <c r="G12" s="5" t="s">
        <v>48</v>
      </c>
      <c r="H12" s="5">
        <f>_xlfn.XLOOKUP(G12,'[1]Maker List'!B:B,'[1]Maker List'!A:A,0,0)</f>
        <v>8210000001</v>
      </c>
      <c r="M12" s="5" t="s">
        <v>52</v>
      </c>
      <c r="N12" s="5" t="s">
        <v>65</v>
      </c>
      <c r="O12" s="5" t="s">
        <v>53</v>
      </c>
      <c r="P12" s="5" t="s">
        <v>54</v>
      </c>
      <c r="Q12" s="5" t="s">
        <v>55</v>
      </c>
      <c r="S12" s="5" t="s">
        <v>57</v>
      </c>
    </row>
    <row r="13" spans="1:24" x14ac:dyDescent="0.3">
      <c r="A13" s="6" t="s">
        <v>61</v>
      </c>
      <c r="B13" s="5" t="s">
        <v>62</v>
      </c>
      <c r="C13" s="6" t="s">
        <v>59</v>
      </c>
      <c r="D13" s="6" t="s">
        <v>72</v>
      </c>
      <c r="E13" s="5" t="s">
        <v>73</v>
      </c>
      <c r="F13" s="5" t="s">
        <v>47</v>
      </c>
      <c r="G13" s="5" t="s">
        <v>48</v>
      </c>
      <c r="H13" s="5">
        <f>_xlfn.XLOOKUP(G13,'[1]Maker List'!B:B,'[1]Maker List'!A:A,0,0)</f>
        <v>8210000001</v>
      </c>
      <c r="M13" s="5" t="s">
        <v>52</v>
      </c>
      <c r="N13" s="5" t="s">
        <v>65</v>
      </c>
      <c r="O13" s="5" t="s">
        <v>53</v>
      </c>
      <c r="P13" s="5" t="s">
        <v>54</v>
      </c>
      <c r="Q13" s="5" t="s">
        <v>55</v>
      </c>
      <c r="S13" s="5" t="s">
        <v>57</v>
      </c>
    </row>
    <row r="14" spans="1:24" x14ac:dyDescent="0.3">
      <c r="A14" s="6" t="s">
        <v>61</v>
      </c>
      <c r="B14" s="5" t="s">
        <v>62</v>
      </c>
      <c r="C14" s="6" t="s">
        <v>59</v>
      </c>
      <c r="D14" s="6" t="s">
        <v>74</v>
      </c>
      <c r="E14" s="5" t="s">
        <v>75</v>
      </c>
      <c r="F14" s="5" t="s">
        <v>47</v>
      </c>
      <c r="G14" s="5" t="s">
        <v>48</v>
      </c>
      <c r="H14" s="5">
        <f>_xlfn.XLOOKUP(G14,'[1]Maker List'!B:B,'[1]Maker List'!A:A,0,0)</f>
        <v>8210000001</v>
      </c>
      <c r="M14" s="5" t="s">
        <v>52</v>
      </c>
      <c r="N14" s="5" t="s">
        <v>65</v>
      </c>
      <c r="O14" s="5" t="s">
        <v>53</v>
      </c>
      <c r="P14" s="5" t="s">
        <v>54</v>
      </c>
      <c r="Q14" s="5" t="s">
        <v>55</v>
      </c>
      <c r="S14" s="5" t="s">
        <v>57</v>
      </c>
    </row>
    <row r="15" spans="1:24" x14ac:dyDescent="0.3">
      <c r="C15" s="6" t="s">
        <v>38</v>
      </c>
      <c r="D15" s="6" t="s">
        <v>76</v>
      </c>
      <c r="E15" s="5" t="s">
        <v>77</v>
      </c>
    </row>
    <row r="16" spans="1:24" s="5" customFormat="1" x14ac:dyDescent="0.3">
      <c r="C16" s="6" t="s">
        <v>76</v>
      </c>
      <c r="D16" s="6" t="s">
        <v>78</v>
      </c>
      <c r="E16" s="5" t="s">
        <v>79</v>
      </c>
      <c r="X16"/>
    </row>
    <row r="17" spans="1:24" s="5" customFormat="1" x14ac:dyDescent="0.3">
      <c r="A17" s="5" t="str">
        <f>_xlfn.XLOOKUP(J17,'[1]Master_Fleet Equipment Keys'!F:F,'[1]Master_Fleet Equipment Keys'!H:H,0,0)</f>
        <v>651.001.AB</v>
      </c>
      <c r="B17" s="5" t="s">
        <v>80</v>
      </c>
      <c r="C17" s="6" t="s">
        <v>78</v>
      </c>
      <c r="D17" s="6" t="s">
        <v>81</v>
      </c>
      <c r="E17" s="5" t="s">
        <v>82</v>
      </c>
      <c r="F17" s="5" t="s">
        <v>47</v>
      </c>
      <c r="G17" s="5" t="s">
        <v>83</v>
      </c>
      <c r="H17" s="5">
        <f>_xlfn.XLOOKUP(G17,'[1]Maker List'!B:B,'[1]Maker List'!A:A,0,0)</f>
        <v>8210000002</v>
      </c>
      <c r="I17" s="5" t="s">
        <v>84</v>
      </c>
      <c r="J17" s="5" t="str">
        <f>H17&amp;"-"&amp;I17</f>
        <v>8210000002-YANMAR-621-ADV</v>
      </c>
      <c r="M17" s="5" t="s">
        <v>52</v>
      </c>
      <c r="N17" s="5" t="s">
        <v>53</v>
      </c>
      <c r="O17" s="5" t="s">
        <v>53</v>
      </c>
      <c r="P17" s="5" t="s">
        <v>54</v>
      </c>
      <c r="Q17" s="5" t="s">
        <v>55</v>
      </c>
      <c r="S17" s="5" t="s">
        <v>57</v>
      </c>
      <c r="X17"/>
    </row>
    <row r="18" spans="1:24" s="5" customFormat="1" x14ac:dyDescent="0.3">
      <c r="C18" s="6" t="s">
        <v>81</v>
      </c>
      <c r="D18" s="6" t="s">
        <v>85</v>
      </c>
      <c r="E18" s="5" t="s">
        <v>86</v>
      </c>
      <c r="X18"/>
    </row>
    <row r="19" spans="1:24" s="5" customFormat="1" x14ac:dyDescent="0.3">
      <c r="A19" s="5" t="s">
        <v>87</v>
      </c>
      <c r="B19" s="5" t="s">
        <v>88</v>
      </c>
      <c r="C19" s="6" t="s">
        <v>85</v>
      </c>
      <c r="D19" s="6" t="s">
        <v>89</v>
      </c>
      <c r="E19" s="5" t="s">
        <v>90</v>
      </c>
      <c r="F19" s="5" t="s">
        <v>47</v>
      </c>
      <c r="G19" s="5" t="s">
        <v>83</v>
      </c>
      <c r="H19" s="5">
        <f>_xlfn.XLOOKUP(G19,'[1]Maker List'!B:B,'[1]Maker List'!A:A,0,0)</f>
        <v>8210000002</v>
      </c>
      <c r="M19" s="5" t="s">
        <v>52</v>
      </c>
      <c r="N19" s="5" t="s">
        <v>65</v>
      </c>
      <c r="O19" s="5" t="s">
        <v>53</v>
      </c>
      <c r="P19" s="5" t="s">
        <v>54</v>
      </c>
      <c r="Q19" s="5" t="s">
        <v>55</v>
      </c>
      <c r="S19" s="5" t="s">
        <v>57</v>
      </c>
      <c r="X19"/>
    </row>
    <row r="20" spans="1:24" s="5" customFormat="1" x14ac:dyDescent="0.3">
      <c r="A20" s="5" t="s">
        <v>87</v>
      </c>
      <c r="B20" s="5" t="s">
        <v>88</v>
      </c>
      <c r="C20" s="6" t="s">
        <v>85</v>
      </c>
      <c r="D20" s="6" t="s">
        <v>91</v>
      </c>
      <c r="E20" s="5" t="s">
        <v>92</v>
      </c>
      <c r="F20" s="5" t="s">
        <v>47</v>
      </c>
      <c r="G20" s="5" t="s">
        <v>83</v>
      </c>
      <c r="H20" s="5">
        <f>_xlfn.XLOOKUP(G20,'[1]Maker List'!B:B,'[1]Maker List'!A:A,0,0)</f>
        <v>8210000002</v>
      </c>
      <c r="M20" s="5" t="s">
        <v>52</v>
      </c>
      <c r="N20" s="5" t="s">
        <v>65</v>
      </c>
      <c r="O20" s="5" t="s">
        <v>53</v>
      </c>
      <c r="P20" s="5" t="s">
        <v>54</v>
      </c>
      <c r="Q20" s="5" t="s">
        <v>55</v>
      </c>
      <c r="S20" s="5" t="s">
        <v>57</v>
      </c>
      <c r="X20"/>
    </row>
    <row r="21" spans="1:24" s="5" customFormat="1" x14ac:dyDescent="0.3">
      <c r="A21" s="5" t="s">
        <v>87</v>
      </c>
      <c r="B21" s="5" t="s">
        <v>88</v>
      </c>
      <c r="C21" s="6" t="s">
        <v>85</v>
      </c>
      <c r="D21" s="6" t="s">
        <v>93</v>
      </c>
      <c r="E21" s="5" t="s">
        <v>94</v>
      </c>
      <c r="F21" s="5" t="s">
        <v>47</v>
      </c>
      <c r="G21" s="5" t="s">
        <v>83</v>
      </c>
      <c r="H21" s="5">
        <f>_xlfn.XLOOKUP(G21,'[1]Maker List'!B:B,'[1]Maker List'!A:A,0,0)</f>
        <v>8210000002</v>
      </c>
      <c r="M21" s="5" t="s">
        <v>52</v>
      </c>
      <c r="N21" s="5" t="s">
        <v>65</v>
      </c>
      <c r="O21" s="5" t="s">
        <v>53</v>
      </c>
      <c r="P21" s="5" t="s">
        <v>54</v>
      </c>
      <c r="Q21" s="5" t="s">
        <v>55</v>
      </c>
      <c r="S21" s="5" t="s">
        <v>57</v>
      </c>
      <c r="X21"/>
    </row>
    <row r="22" spans="1:24" s="5" customFormat="1" x14ac:dyDescent="0.3">
      <c r="A22" s="5" t="s">
        <v>87</v>
      </c>
      <c r="B22" s="5" t="s">
        <v>88</v>
      </c>
      <c r="C22" s="6" t="s">
        <v>85</v>
      </c>
      <c r="D22" s="6" t="s">
        <v>95</v>
      </c>
      <c r="E22" s="5" t="s">
        <v>96</v>
      </c>
      <c r="F22" s="5" t="s">
        <v>47</v>
      </c>
      <c r="G22" s="5" t="s">
        <v>83</v>
      </c>
      <c r="H22" s="5">
        <f>_xlfn.XLOOKUP(G22,'[1]Maker List'!B:B,'[1]Maker List'!A:A,0,0)</f>
        <v>8210000002</v>
      </c>
      <c r="M22" s="5" t="s">
        <v>52</v>
      </c>
      <c r="N22" s="5" t="s">
        <v>65</v>
      </c>
      <c r="O22" s="5" t="s">
        <v>53</v>
      </c>
      <c r="P22" s="5" t="s">
        <v>54</v>
      </c>
      <c r="Q22" s="5" t="s">
        <v>55</v>
      </c>
      <c r="S22" s="5" t="s">
        <v>57</v>
      </c>
      <c r="X22"/>
    </row>
    <row r="23" spans="1:24" s="5" customFormat="1" x14ac:dyDescent="0.3">
      <c r="A23" s="5" t="s">
        <v>87</v>
      </c>
      <c r="B23" s="5" t="s">
        <v>88</v>
      </c>
      <c r="C23" s="6" t="s">
        <v>85</v>
      </c>
      <c r="D23" s="6" t="s">
        <v>97</v>
      </c>
      <c r="E23" s="5" t="s">
        <v>98</v>
      </c>
      <c r="F23" s="5" t="s">
        <v>47</v>
      </c>
      <c r="G23" s="5" t="s">
        <v>83</v>
      </c>
      <c r="H23" s="5">
        <f>_xlfn.XLOOKUP(G23,'[1]Maker List'!B:B,'[1]Maker List'!A:A,0,0)</f>
        <v>8210000002</v>
      </c>
      <c r="M23" s="5" t="s">
        <v>52</v>
      </c>
      <c r="N23" s="5" t="s">
        <v>65</v>
      </c>
      <c r="O23" s="5" t="s">
        <v>53</v>
      </c>
      <c r="P23" s="5" t="s">
        <v>54</v>
      </c>
      <c r="Q23" s="5" t="s">
        <v>55</v>
      </c>
      <c r="S23" s="5" t="s">
        <v>57</v>
      </c>
      <c r="X23"/>
    </row>
    <row r="24" spans="1:24" s="5" customFormat="1" x14ac:dyDescent="0.3">
      <c r="A24" s="5" t="s">
        <v>87</v>
      </c>
      <c r="B24" s="5" t="s">
        <v>88</v>
      </c>
      <c r="C24" s="6" t="s">
        <v>85</v>
      </c>
      <c r="D24" s="6" t="s">
        <v>99</v>
      </c>
      <c r="E24" s="5" t="s">
        <v>100</v>
      </c>
      <c r="F24" s="5" t="s">
        <v>47</v>
      </c>
      <c r="G24" s="5" t="s">
        <v>83</v>
      </c>
      <c r="H24" s="5">
        <f>_xlfn.XLOOKUP(G24,'[1]Maker List'!B:B,'[1]Maker List'!A:A,0,0)</f>
        <v>8210000002</v>
      </c>
      <c r="M24" s="5" t="s">
        <v>52</v>
      </c>
      <c r="N24" s="5" t="s">
        <v>65</v>
      </c>
      <c r="O24" s="5" t="s">
        <v>53</v>
      </c>
      <c r="P24" s="5" t="s">
        <v>54</v>
      </c>
      <c r="Q24" s="5" t="s">
        <v>55</v>
      </c>
      <c r="S24" s="5" t="s">
        <v>57</v>
      </c>
      <c r="X24"/>
    </row>
    <row r="25" spans="1:24" s="5" customFormat="1" x14ac:dyDescent="0.3">
      <c r="C25" s="6" t="s">
        <v>76</v>
      </c>
      <c r="D25" s="6" t="s">
        <v>101</v>
      </c>
      <c r="E25" s="5" t="s">
        <v>79</v>
      </c>
      <c r="X25"/>
    </row>
    <row r="26" spans="1:24" s="5" customFormat="1" x14ac:dyDescent="0.3">
      <c r="A26" s="5" t="str">
        <f>_xlfn.XLOOKUP(J26,'[1]Master_Fleet Equipment Keys'!F:F,'[1]Master_Fleet Equipment Keys'!H:H,0,0)</f>
        <v>651.001.AB</v>
      </c>
      <c r="B26" s="5" t="s">
        <v>80</v>
      </c>
      <c r="C26" s="6" t="s">
        <v>101</v>
      </c>
      <c r="D26" s="6" t="s">
        <v>102</v>
      </c>
      <c r="E26" s="5" t="s">
        <v>103</v>
      </c>
      <c r="F26" s="5" t="s">
        <v>47</v>
      </c>
      <c r="G26" s="5" t="s">
        <v>83</v>
      </c>
      <c r="H26" s="5">
        <f>_xlfn.XLOOKUP(G26,'[1]Maker List'!B:B,'[1]Maker List'!A:A,0,0)</f>
        <v>8210000002</v>
      </c>
      <c r="I26" s="5" t="s">
        <v>84</v>
      </c>
      <c r="J26" s="5" t="str">
        <f t="shared" ref="J26:J35" si="0">H26&amp;"-"&amp;I26</f>
        <v>8210000002-YANMAR-621-ADV</v>
      </c>
      <c r="M26" s="5" t="s">
        <v>52</v>
      </c>
      <c r="N26" s="5" t="s">
        <v>53</v>
      </c>
      <c r="O26" s="5" t="s">
        <v>53</v>
      </c>
      <c r="P26" s="5" t="s">
        <v>54</v>
      </c>
      <c r="Q26" s="5" t="s">
        <v>55</v>
      </c>
      <c r="S26" s="5" t="s">
        <v>57</v>
      </c>
      <c r="X26"/>
    </row>
    <row r="27" spans="1:24" s="5" customFormat="1" x14ac:dyDescent="0.3">
      <c r="C27" s="6" t="s">
        <v>102</v>
      </c>
      <c r="D27" s="6" t="s">
        <v>104</v>
      </c>
      <c r="E27" s="5" t="s">
        <v>105</v>
      </c>
      <c r="X27"/>
    </row>
    <row r="28" spans="1:24" s="5" customFormat="1" x14ac:dyDescent="0.3">
      <c r="A28" s="5" t="s">
        <v>87</v>
      </c>
      <c r="B28" s="5" t="s">
        <v>88</v>
      </c>
      <c r="C28" s="6" t="s">
        <v>106</v>
      </c>
      <c r="D28" s="6" t="s">
        <v>107</v>
      </c>
      <c r="E28" s="5" t="s">
        <v>108</v>
      </c>
      <c r="F28" s="5" t="s">
        <v>47</v>
      </c>
      <c r="G28" s="5" t="s">
        <v>83</v>
      </c>
      <c r="H28" s="5">
        <f>_xlfn.XLOOKUP(G28,'[1]Maker List'!B:B,'[1]Maker List'!A:A,0,0)</f>
        <v>8210000002</v>
      </c>
      <c r="M28" s="5" t="s">
        <v>52</v>
      </c>
      <c r="N28" s="5" t="s">
        <v>65</v>
      </c>
      <c r="O28" s="5" t="s">
        <v>53</v>
      </c>
      <c r="P28" s="5" t="s">
        <v>54</v>
      </c>
      <c r="Q28" s="5" t="s">
        <v>55</v>
      </c>
      <c r="S28" s="5" t="s">
        <v>57</v>
      </c>
      <c r="X28"/>
    </row>
    <row r="29" spans="1:24" s="5" customFormat="1" x14ac:dyDescent="0.3">
      <c r="A29" s="5" t="s">
        <v>87</v>
      </c>
      <c r="B29" s="5" t="s">
        <v>88</v>
      </c>
      <c r="C29" s="6" t="s">
        <v>106</v>
      </c>
      <c r="D29" s="6" t="s">
        <v>109</v>
      </c>
      <c r="E29" s="5" t="s">
        <v>110</v>
      </c>
      <c r="F29" s="5" t="s">
        <v>47</v>
      </c>
      <c r="G29" s="5" t="s">
        <v>83</v>
      </c>
      <c r="H29" s="5">
        <f>_xlfn.XLOOKUP(G29,'[1]Maker List'!B:B,'[1]Maker List'!A:A,0,0)</f>
        <v>8210000002</v>
      </c>
      <c r="M29" s="5" t="s">
        <v>52</v>
      </c>
      <c r="N29" s="5" t="s">
        <v>65</v>
      </c>
      <c r="O29" s="5" t="s">
        <v>53</v>
      </c>
      <c r="P29" s="5" t="s">
        <v>54</v>
      </c>
      <c r="Q29" s="5" t="s">
        <v>55</v>
      </c>
      <c r="S29" s="5" t="s">
        <v>57</v>
      </c>
      <c r="X29"/>
    </row>
    <row r="30" spans="1:24" s="5" customFormat="1" x14ac:dyDescent="0.3">
      <c r="A30" s="5" t="s">
        <v>87</v>
      </c>
      <c r="B30" s="5" t="s">
        <v>88</v>
      </c>
      <c r="C30" s="6" t="s">
        <v>106</v>
      </c>
      <c r="D30" s="6" t="s">
        <v>111</v>
      </c>
      <c r="E30" s="5" t="s">
        <v>112</v>
      </c>
      <c r="F30" s="5" t="s">
        <v>47</v>
      </c>
      <c r="G30" s="5" t="s">
        <v>83</v>
      </c>
      <c r="H30" s="5">
        <f>_xlfn.XLOOKUP(G30,'[1]Maker List'!B:B,'[1]Maker List'!A:A,0,0)</f>
        <v>8210000002</v>
      </c>
      <c r="M30" s="5" t="s">
        <v>52</v>
      </c>
      <c r="N30" s="5" t="s">
        <v>65</v>
      </c>
      <c r="O30" s="5" t="s">
        <v>53</v>
      </c>
      <c r="P30" s="5" t="s">
        <v>54</v>
      </c>
      <c r="Q30" s="5" t="s">
        <v>55</v>
      </c>
      <c r="S30" s="5" t="s">
        <v>57</v>
      </c>
      <c r="X30"/>
    </row>
    <row r="31" spans="1:24" s="5" customFormat="1" x14ac:dyDescent="0.3">
      <c r="A31" s="5" t="s">
        <v>87</v>
      </c>
      <c r="B31" s="5" t="s">
        <v>88</v>
      </c>
      <c r="C31" s="6" t="s">
        <v>106</v>
      </c>
      <c r="D31" s="6" t="s">
        <v>113</v>
      </c>
      <c r="E31" s="5" t="s">
        <v>114</v>
      </c>
      <c r="F31" s="5" t="s">
        <v>47</v>
      </c>
      <c r="G31" s="5" t="s">
        <v>83</v>
      </c>
      <c r="H31" s="5">
        <f>_xlfn.XLOOKUP(G31,'[1]Maker List'!B:B,'[1]Maker List'!A:A,0,0)</f>
        <v>8210000002</v>
      </c>
      <c r="M31" s="5" t="s">
        <v>52</v>
      </c>
      <c r="N31" s="5" t="s">
        <v>65</v>
      </c>
      <c r="O31" s="5" t="s">
        <v>53</v>
      </c>
      <c r="P31" s="5" t="s">
        <v>54</v>
      </c>
      <c r="Q31" s="5" t="s">
        <v>55</v>
      </c>
      <c r="S31" s="5" t="s">
        <v>57</v>
      </c>
      <c r="X31"/>
    </row>
    <row r="32" spans="1:24" s="5" customFormat="1" x14ac:dyDescent="0.3">
      <c r="A32" s="5" t="s">
        <v>87</v>
      </c>
      <c r="B32" s="5" t="s">
        <v>88</v>
      </c>
      <c r="C32" s="6" t="s">
        <v>106</v>
      </c>
      <c r="D32" s="6" t="s">
        <v>115</v>
      </c>
      <c r="E32" s="5" t="s">
        <v>116</v>
      </c>
      <c r="F32" s="5" t="s">
        <v>47</v>
      </c>
      <c r="G32" s="5" t="s">
        <v>83</v>
      </c>
      <c r="H32" s="5">
        <f>_xlfn.XLOOKUP(G32,'[1]Maker List'!B:B,'[1]Maker List'!A:A,0,0)</f>
        <v>8210000002</v>
      </c>
      <c r="M32" s="5" t="s">
        <v>52</v>
      </c>
      <c r="N32" s="5" t="s">
        <v>65</v>
      </c>
      <c r="O32" s="5" t="s">
        <v>53</v>
      </c>
      <c r="P32" s="5" t="s">
        <v>54</v>
      </c>
      <c r="Q32" s="5" t="s">
        <v>55</v>
      </c>
      <c r="S32" s="5" t="s">
        <v>57</v>
      </c>
      <c r="X32"/>
    </row>
    <row r="33" spans="1:24" s="5" customFormat="1" x14ac:dyDescent="0.3">
      <c r="A33" s="5" t="s">
        <v>87</v>
      </c>
      <c r="B33" s="5" t="s">
        <v>88</v>
      </c>
      <c r="C33" s="6" t="s">
        <v>106</v>
      </c>
      <c r="D33" s="6" t="s">
        <v>117</v>
      </c>
      <c r="E33" s="5" t="s">
        <v>118</v>
      </c>
      <c r="F33" s="5" t="s">
        <v>47</v>
      </c>
      <c r="G33" s="5" t="s">
        <v>83</v>
      </c>
      <c r="H33" s="5">
        <f>_xlfn.XLOOKUP(G33,'[1]Maker List'!B:B,'[1]Maker List'!A:A,0,0)</f>
        <v>8210000002</v>
      </c>
      <c r="M33" s="5" t="s">
        <v>52</v>
      </c>
      <c r="N33" s="5" t="s">
        <v>65</v>
      </c>
      <c r="O33" s="5" t="s">
        <v>53</v>
      </c>
      <c r="P33" s="5" t="s">
        <v>54</v>
      </c>
      <c r="Q33" s="5" t="s">
        <v>55</v>
      </c>
      <c r="S33" s="5" t="s">
        <v>57</v>
      </c>
      <c r="X33"/>
    </row>
    <row r="34" spans="1:24" s="5" customFormat="1" x14ac:dyDescent="0.3">
      <c r="C34" s="6" t="s">
        <v>76</v>
      </c>
      <c r="D34" s="6" t="s">
        <v>119</v>
      </c>
      <c r="E34" s="5" t="s">
        <v>79</v>
      </c>
      <c r="X34"/>
    </row>
    <row r="35" spans="1:24" s="5" customFormat="1" x14ac:dyDescent="0.3">
      <c r="A35" s="5" t="str">
        <f>_xlfn.XLOOKUP(J35,'[1]Master_Fleet Equipment Keys'!F:F,'[1]Master_Fleet Equipment Keys'!H:H,0,0)</f>
        <v>651.001.AB</v>
      </c>
      <c r="B35" s="5" t="s">
        <v>80</v>
      </c>
      <c r="C35" s="6" t="s">
        <v>119</v>
      </c>
      <c r="D35" s="6" t="s">
        <v>120</v>
      </c>
      <c r="E35" s="5" t="s">
        <v>121</v>
      </c>
      <c r="F35" s="5" t="s">
        <v>47</v>
      </c>
      <c r="G35" s="5" t="s">
        <v>83</v>
      </c>
      <c r="H35" s="5">
        <f>_xlfn.XLOOKUP(G35,'[1]Maker List'!B:B,'[1]Maker List'!A:A,0,0)</f>
        <v>8210000002</v>
      </c>
      <c r="I35" s="5" t="s">
        <v>84</v>
      </c>
      <c r="J35" s="5" t="str">
        <f t="shared" si="0"/>
        <v>8210000002-YANMAR-621-ADV</v>
      </c>
      <c r="M35" s="5" t="s">
        <v>52</v>
      </c>
      <c r="N35" s="5" t="s">
        <v>53</v>
      </c>
      <c r="O35" s="5" t="s">
        <v>53</v>
      </c>
      <c r="P35" s="5" t="s">
        <v>54</v>
      </c>
      <c r="Q35" s="5" t="s">
        <v>55</v>
      </c>
      <c r="S35" s="5" t="s">
        <v>57</v>
      </c>
      <c r="X35"/>
    </row>
    <row r="36" spans="1:24" s="5" customFormat="1" x14ac:dyDescent="0.3">
      <c r="C36" s="6" t="s">
        <v>120</v>
      </c>
      <c r="D36" s="6" t="s">
        <v>122</v>
      </c>
      <c r="E36" s="5" t="s">
        <v>123</v>
      </c>
      <c r="X36"/>
    </row>
    <row r="37" spans="1:24" s="5" customFormat="1" x14ac:dyDescent="0.3">
      <c r="A37" s="5" t="s">
        <v>87</v>
      </c>
      <c r="B37" s="5" t="s">
        <v>88</v>
      </c>
      <c r="C37" s="6" t="s">
        <v>122</v>
      </c>
      <c r="D37" s="6" t="s">
        <v>124</v>
      </c>
      <c r="E37" s="5" t="s">
        <v>125</v>
      </c>
      <c r="F37" s="5" t="s">
        <v>47</v>
      </c>
      <c r="G37" s="5" t="s">
        <v>83</v>
      </c>
      <c r="H37" s="5">
        <f>_xlfn.XLOOKUP(G37,'[1]Maker List'!B:B,'[1]Maker List'!A:A,0,0)</f>
        <v>8210000002</v>
      </c>
      <c r="M37" s="5" t="s">
        <v>52</v>
      </c>
      <c r="N37" s="5" t="s">
        <v>65</v>
      </c>
      <c r="O37" s="5" t="s">
        <v>53</v>
      </c>
      <c r="P37" s="5" t="s">
        <v>54</v>
      </c>
      <c r="Q37" s="5" t="s">
        <v>55</v>
      </c>
      <c r="S37" s="5" t="s">
        <v>57</v>
      </c>
      <c r="X37"/>
    </row>
    <row r="38" spans="1:24" s="5" customFormat="1" x14ac:dyDescent="0.3">
      <c r="A38" s="5" t="s">
        <v>87</v>
      </c>
      <c r="B38" s="5" t="s">
        <v>88</v>
      </c>
      <c r="C38" s="6" t="s">
        <v>122</v>
      </c>
      <c r="D38" s="6" t="s">
        <v>126</v>
      </c>
      <c r="E38" s="5" t="s">
        <v>127</v>
      </c>
      <c r="F38" s="5" t="s">
        <v>47</v>
      </c>
      <c r="G38" s="5" t="s">
        <v>83</v>
      </c>
      <c r="H38" s="5">
        <f>_xlfn.XLOOKUP(G38,'[1]Maker List'!B:B,'[1]Maker List'!A:A,0,0)</f>
        <v>8210000002</v>
      </c>
      <c r="M38" s="5" t="s">
        <v>52</v>
      </c>
      <c r="N38" s="5" t="s">
        <v>65</v>
      </c>
      <c r="O38" s="5" t="s">
        <v>53</v>
      </c>
      <c r="P38" s="5" t="s">
        <v>54</v>
      </c>
      <c r="Q38" s="5" t="s">
        <v>55</v>
      </c>
      <c r="S38" s="5" t="s">
        <v>57</v>
      </c>
      <c r="X38"/>
    </row>
    <row r="39" spans="1:24" s="5" customFormat="1" x14ac:dyDescent="0.3">
      <c r="A39" s="5" t="s">
        <v>87</v>
      </c>
      <c r="B39" s="5" t="s">
        <v>88</v>
      </c>
      <c r="C39" s="6" t="s">
        <v>122</v>
      </c>
      <c r="D39" s="6" t="s">
        <v>128</v>
      </c>
      <c r="E39" s="5" t="s">
        <v>129</v>
      </c>
      <c r="F39" s="5" t="s">
        <v>47</v>
      </c>
      <c r="G39" s="5" t="s">
        <v>83</v>
      </c>
      <c r="H39" s="5">
        <f>_xlfn.XLOOKUP(G39,'[1]Maker List'!B:B,'[1]Maker List'!A:A,0,0)</f>
        <v>8210000002</v>
      </c>
      <c r="M39" s="5" t="s">
        <v>52</v>
      </c>
      <c r="N39" s="5" t="s">
        <v>65</v>
      </c>
      <c r="O39" s="5" t="s">
        <v>53</v>
      </c>
      <c r="P39" s="5" t="s">
        <v>54</v>
      </c>
      <c r="Q39" s="5" t="s">
        <v>55</v>
      </c>
      <c r="S39" s="5" t="s">
        <v>57</v>
      </c>
      <c r="X39"/>
    </row>
    <row r="40" spans="1:24" s="5" customFormat="1" x14ac:dyDescent="0.3">
      <c r="A40" s="5" t="s">
        <v>87</v>
      </c>
      <c r="B40" s="5" t="s">
        <v>88</v>
      </c>
      <c r="C40" s="6" t="s">
        <v>122</v>
      </c>
      <c r="D40" s="6" t="s">
        <v>130</v>
      </c>
      <c r="E40" s="5" t="s">
        <v>131</v>
      </c>
      <c r="F40" s="5" t="s">
        <v>47</v>
      </c>
      <c r="G40" s="5" t="s">
        <v>83</v>
      </c>
      <c r="H40" s="5">
        <f>_xlfn.XLOOKUP(G40,'[1]Maker List'!B:B,'[1]Maker List'!A:A,0,0)</f>
        <v>8210000002</v>
      </c>
      <c r="M40" s="5" t="s">
        <v>52</v>
      </c>
      <c r="N40" s="5" t="s">
        <v>65</v>
      </c>
      <c r="O40" s="5" t="s">
        <v>53</v>
      </c>
      <c r="P40" s="5" t="s">
        <v>54</v>
      </c>
      <c r="Q40" s="5" t="s">
        <v>55</v>
      </c>
      <c r="S40" s="5" t="s">
        <v>57</v>
      </c>
      <c r="X40"/>
    </row>
    <row r="41" spans="1:24" s="5" customFormat="1" x14ac:dyDescent="0.3">
      <c r="A41" s="5" t="s">
        <v>87</v>
      </c>
      <c r="B41" s="5" t="s">
        <v>88</v>
      </c>
      <c r="C41" s="6" t="s">
        <v>122</v>
      </c>
      <c r="D41" s="6" t="s">
        <v>132</v>
      </c>
      <c r="E41" s="5" t="s">
        <v>133</v>
      </c>
      <c r="F41" s="5" t="s">
        <v>47</v>
      </c>
      <c r="G41" s="5" t="s">
        <v>83</v>
      </c>
      <c r="H41" s="5">
        <f>_xlfn.XLOOKUP(G41,'[1]Maker List'!B:B,'[1]Maker List'!A:A,0,0)</f>
        <v>8210000002</v>
      </c>
      <c r="M41" s="5" t="s">
        <v>52</v>
      </c>
      <c r="N41" s="5" t="s">
        <v>65</v>
      </c>
      <c r="O41" s="5" t="s">
        <v>53</v>
      </c>
      <c r="P41" s="5" t="s">
        <v>54</v>
      </c>
      <c r="Q41" s="5" t="s">
        <v>55</v>
      </c>
      <c r="S41" s="5" t="s">
        <v>57</v>
      </c>
      <c r="X41"/>
    </row>
    <row r="42" spans="1:24" s="5" customFormat="1" x14ac:dyDescent="0.3">
      <c r="A42" s="5" t="s">
        <v>87</v>
      </c>
      <c r="B42" s="5" t="s">
        <v>88</v>
      </c>
      <c r="C42" s="6" t="s">
        <v>122</v>
      </c>
      <c r="D42" s="6" t="s">
        <v>134</v>
      </c>
      <c r="E42" s="5" t="s">
        <v>135</v>
      </c>
      <c r="F42" s="5" t="s">
        <v>47</v>
      </c>
      <c r="G42" s="5" t="s">
        <v>83</v>
      </c>
      <c r="H42" s="5">
        <f>_xlfn.XLOOKUP(G42,'[1]Maker List'!B:B,'[1]Maker List'!A:A,0,0)</f>
        <v>8210000002</v>
      </c>
      <c r="M42" s="5" t="s">
        <v>52</v>
      </c>
      <c r="N42" s="5" t="s">
        <v>65</v>
      </c>
      <c r="O42" s="5" t="s">
        <v>53</v>
      </c>
      <c r="P42" s="5" t="s">
        <v>54</v>
      </c>
      <c r="Q42" s="5" t="s">
        <v>55</v>
      </c>
      <c r="S42" s="5" t="s">
        <v>57</v>
      </c>
      <c r="X42"/>
    </row>
    <row r="43" spans="1:24" s="5" customFormat="1" x14ac:dyDescent="0.3">
      <c r="C43" s="6"/>
      <c r="D43" s="6" t="s">
        <v>136</v>
      </c>
      <c r="E43" s="5" t="s">
        <v>137</v>
      </c>
      <c r="X43"/>
    </row>
    <row r="44" spans="1:24" s="5" customFormat="1" x14ac:dyDescent="0.3">
      <c r="C44" s="6" t="s">
        <v>136</v>
      </c>
      <c r="D44" s="6" t="s">
        <v>138</v>
      </c>
      <c r="E44" s="5" t="s">
        <v>139</v>
      </c>
      <c r="X44"/>
    </row>
    <row r="45" spans="1:24" s="5" customFormat="1" x14ac:dyDescent="0.3">
      <c r="C45" s="6" t="s">
        <v>138</v>
      </c>
      <c r="D45" s="6" t="s">
        <v>140</v>
      </c>
      <c r="E45" s="5" t="s">
        <v>141</v>
      </c>
      <c r="X45"/>
    </row>
    <row r="46" spans="1:24" s="5" customFormat="1" x14ac:dyDescent="0.3">
      <c r="C46" s="6" t="s">
        <v>140</v>
      </c>
      <c r="D46" s="6" t="s">
        <v>142</v>
      </c>
      <c r="E46" s="5" t="s">
        <v>143</v>
      </c>
      <c r="F46" s="5" t="s">
        <v>47</v>
      </c>
      <c r="X46"/>
    </row>
    <row r="47" spans="1:24" s="5" customFormat="1" x14ac:dyDescent="0.3">
      <c r="A47" s="5" t="str">
        <f>_xlfn.XLOOKUP(J47,'[1]Master_Fleet Equipment Keys'!F:F,'[1]Master_Fleet Equipment Keys'!H:H,0,0)</f>
        <v>721.001.AA</v>
      </c>
      <c r="B47" s="5" t="s">
        <v>144</v>
      </c>
      <c r="C47" s="6" t="s">
        <v>142</v>
      </c>
      <c r="D47" s="6" t="s">
        <v>145</v>
      </c>
      <c r="E47" s="5" t="s">
        <v>146</v>
      </c>
      <c r="F47" s="5" t="s">
        <v>47</v>
      </c>
      <c r="G47" s="5" t="s">
        <v>147</v>
      </c>
      <c r="H47" s="5">
        <f>_xlfn.XLOOKUP(G47,'[1]Maker List'!B:B,'[1]Maker List'!A:A,0,0)</f>
        <v>8210000003</v>
      </c>
      <c r="I47" s="5" t="s">
        <v>148</v>
      </c>
      <c r="J47" s="5" t="str">
        <f t="shared" ref="J47:J57" si="1">H47&amp;"-"&amp;I47</f>
        <v>8210000003-NSLH65-215/-09</v>
      </c>
      <c r="M47" s="5" t="s">
        <v>52</v>
      </c>
      <c r="N47" s="5" t="s">
        <v>65</v>
      </c>
      <c r="O47" s="5" t="s">
        <v>53</v>
      </c>
      <c r="P47" s="5" t="s">
        <v>54</v>
      </c>
      <c r="Q47" s="5" t="s">
        <v>55</v>
      </c>
      <c r="S47" s="5" t="s">
        <v>57</v>
      </c>
      <c r="X47"/>
    </row>
    <row r="48" spans="1:24" s="5" customFormat="1" x14ac:dyDescent="0.3">
      <c r="A48" s="5" t="str">
        <f>_xlfn.XLOOKUP(J48,'[1]Master_Fleet Equipment Keys'!F:F,'[1]Master_Fleet Equipment Keys'!H:H,0,0)</f>
        <v>721.001.AA</v>
      </c>
      <c r="B48" s="5" t="s">
        <v>144</v>
      </c>
      <c r="C48" s="6" t="s">
        <v>142</v>
      </c>
      <c r="D48" s="6" t="s">
        <v>149</v>
      </c>
      <c r="E48" s="5" t="s">
        <v>150</v>
      </c>
      <c r="F48" s="5" t="s">
        <v>47</v>
      </c>
      <c r="G48" s="5" t="s">
        <v>147</v>
      </c>
      <c r="H48" s="5">
        <f>_xlfn.XLOOKUP(G48,'[1]Maker List'!B:B,'[1]Maker List'!A:A,0,0)</f>
        <v>8210000003</v>
      </c>
      <c r="I48" s="5" t="s">
        <v>148</v>
      </c>
      <c r="J48" s="5" t="str">
        <f t="shared" si="1"/>
        <v>8210000003-NSLH65-215/-09</v>
      </c>
      <c r="M48" s="5" t="s">
        <v>52</v>
      </c>
      <c r="N48" s="5" t="s">
        <v>65</v>
      </c>
      <c r="O48" s="5" t="s">
        <v>53</v>
      </c>
      <c r="P48" s="5" t="s">
        <v>54</v>
      </c>
      <c r="Q48" s="5" t="s">
        <v>55</v>
      </c>
      <c r="S48" s="5" t="s">
        <v>57</v>
      </c>
      <c r="X48"/>
    </row>
    <row r="49" spans="1:24" s="5" customFormat="1" x14ac:dyDescent="0.3">
      <c r="C49" s="6"/>
      <c r="D49" s="6">
        <v>8</v>
      </c>
      <c r="X49"/>
    </row>
    <row r="50" spans="1:24" s="5" customFormat="1" x14ac:dyDescent="0.3">
      <c r="C50" s="6">
        <v>8</v>
      </c>
      <c r="D50" s="6">
        <v>89</v>
      </c>
      <c r="X50"/>
    </row>
    <row r="51" spans="1:24" s="5" customFormat="1" x14ac:dyDescent="0.3">
      <c r="C51" s="6">
        <v>89</v>
      </c>
      <c r="D51" s="6" t="s">
        <v>151</v>
      </c>
      <c r="E51" s="5" t="s">
        <v>152</v>
      </c>
      <c r="X51"/>
    </row>
    <row r="52" spans="1:24" s="5" customFormat="1" x14ac:dyDescent="0.3">
      <c r="C52" s="6" t="s">
        <v>151</v>
      </c>
      <c r="D52" s="6" t="s">
        <v>153</v>
      </c>
      <c r="E52" s="5" t="s">
        <v>154</v>
      </c>
      <c r="X52"/>
    </row>
    <row r="53" spans="1:24" s="5" customFormat="1" x14ac:dyDescent="0.3">
      <c r="A53" s="5" t="str">
        <f>_xlfn.XLOOKUP(J53,'[1]Master_Fleet Equipment Keys'!F:F,'[1]Master_Fleet Equipment Keys'!H:H,0,0)</f>
        <v>898.001.AA</v>
      </c>
      <c r="B53" s="5" t="s">
        <v>155</v>
      </c>
      <c r="C53" s="6" t="s">
        <v>153</v>
      </c>
      <c r="D53" s="6" t="s">
        <v>156</v>
      </c>
      <c r="E53" s="5" t="s">
        <v>157</v>
      </c>
      <c r="F53" s="5" t="s">
        <v>158</v>
      </c>
      <c r="G53" s="5" t="s">
        <v>159</v>
      </c>
      <c r="H53" s="5">
        <f>_xlfn.XLOOKUP(G53,'[1]Maker List'!B:B,'[1]Maker List'!A:A,0,0)</f>
        <v>8210000004</v>
      </c>
      <c r="I53" s="5" t="s">
        <v>160</v>
      </c>
      <c r="J53" s="5" t="str">
        <f t="shared" si="1"/>
        <v>8210000004-HNC3 225S</v>
      </c>
      <c r="M53" s="5" t="s">
        <v>52</v>
      </c>
      <c r="N53" s="5" t="s">
        <v>65</v>
      </c>
      <c r="O53" s="5" t="s">
        <v>53</v>
      </c>
      <c r="P53" s="5" t="s">
        <v>54</v>
      </c>
      <c r="Q53" s="5" t="s">
        <v>55</v>
      </c>
      <c r="S53" s="5" t="s">
        <v>57</v>
      </c>
      <c r="X53"/>
    </row>
    <row r="54" spans="1:24" s="5" customFormat="1" x14ac:dyDescent="0.3">
      <c r="A54" s="5" t="str">
        <f>_xlfn.XLOOKUP(J54,'[1]Master_Fleet Equipment Keys'!F:F,'[1]Master_Fleet Equipment Keys'!H:H,0,0)</f>
        <v>898.001.AA</v>
      </c>
      <c r="B54" s="5" t="s">
        <v>155</v>
      </c>
      <c r="C54" s="6" t="s">
        <v>153</v>
      </c>
      <c r="D54" s="6" t="s">
        <v>161</v>
      </c>
      <c r="E54" s="5" t="s">
        <v>162</v>
      </c>
      <c r="F54" s="5" t="s">
        <v>158</v>
      </c>
      <c r="G54" s="5" t="s">
        <v>159</v>
      </c>
      <c r="H54" s="5">
        <f>_xlfn.XLOOKUP(G54,'[1]Maker List'!B:B,'[1]Maker List'!A:A,0,0)</f>
        <v>8210000004</v>
      </c>
      <c r="I54" s="5" t="s">
        <v>160</v>
      </c>
      <c r="J54" s="5" t="str">
        <f t="shared" si="1"/>
        <v>8210000004-HNC3 225S</v>
      </c>
      <c r="M54" s="5" t="s">
        <v>52</v>
      </c>
      <c r="N54" s="5" t="s">
        <v>65</v>
      </c>
      <c r="O54" s="5" t="s">
        <v>53</v>
      </c>
      <c r="P54" s="5" t="s">
        <v>54</v>
      </c>
      <c r="Q54" s="5" t="s">
        <v>55</v>
      </c>
      <c r="S54" s="5" t="s">
        <v>57</v>
      </c>
      <c r="X54"/>
    </row>
    <row r="55" spans="1:24" s="5" customFormat="1" x14ac:dyDescent="0.3">
      <c r="C55" s="6" t="s">
        <v>138</v>
      </c>
      <c r="D55" s="6" t="s">
        <v>163</v>
      </c>
      <c r="E55" s="5" t="s">
        <v>164</v>
      </c>
      <c r="X55"/>
    </row>
    <row r="56" spans="1:24" s="5" customFormat="1" x14ac:dyDescent="0.3">
      <c r="A56" s="5" t="str">
        <f>_xlfn.XLOOKUP(J56,'[1]Master_Fleet Equipment Keys'!F:F,'[1]Master_Fleet Equipment Keys'!H:H,0,0)</f>
        <v>722.001.AB</v>
      </c>
      <c r="C56" s="6" t="s">
        <v>163</v>
      </c>
      <c r="D56" s="6" t="s">
        <v>165</v>
      </c>
      <c r="E56" s="5" t="s">
        <v>166</v>
      </c>
      <c r="F56" s="5" t="s">
        <v>158</v>
      </c>
      <c r="G56" s="5" t="s">
        <v>147</v>
      </c>
      <c r="H56" s="5">
        <f>_xlfn.XLOOKUP(G56,'[1]Maker List'!B:B,'[1]Maker List'!A:A,0,0)</f>
        <v>8210000003</v>
      </c>
      <c r="I56" s="5" t="s">
        <v>167</v>
      </c>
      <c r="J56" s="5" t="str">
        <f t="shared" si="1"/>
        <v>8210000003-NSLH55-215</v>
      </c>
      <c r="M56" s="5" t="s">
        <v>52</v>
      </c>
      <c r="N56" s="5" t="s">
        <v>65</v>
      </c>
      <c r="O56" s="5" t="s">
        <v>53</v>
      </c>
      <c r="P56" s="5" t="s">
        <v>54</v>
      </c>
      <c r="Q56" s="5" t="s">
        <v>55</v>
      </c>
      <c r="S56" s="5" t="s">
        <v>57</v>
      </c>
      <c r="X56"/>
    </row>
    <row r="57" spans="1:24" s="5" customFormat="1" x14ac:dyDescent="0.3">
      <c r="A57" s="5" t="str">
        <f>_xlfn.XLOOKUP(J57,'[1]Master_Fleet Equipment Keys'!F:F,'[1]Master_Fleet Equipment Keys'!H:H,0,0)</f>
        <v>898.001.AA</v>
      </c>
      <c r="C57" s="6" t="s">
        <v>151</v>
      </c>
      <c r="D57" s="6" t="s">
        <v>168</v>
      </c>
      <c r="E57" s="5" t="s">
        <v>169</v>
      </c>
      <c r="F57" s="5" t="s">
        <v>158</v>
      </c>
      <c r="G57" s="5" t="s">
        <v>159</v>
      </c>
      <c r="H57" s="5">
        <f>_xlfn.XLOOKUP(G57,'[1]Maker List'!B:B,'[1]Maker List'!A:A,0,0)</f>
        <v>8210000004</v>
      </c>
      <c r="I57" s="5" t="s">
        <v>160</v>
      </c>
      <c r="J57" s="5" t="str">
        <f t="shared" si="1"/>
        <v>8210000004-HNC3 225S</v>
      </c>
      <c r="M57" s="5" t="s">
        <v>52</v>
      </c>
      <c r="N57" s="5" t="s">
        <v>65</v>
      </c>
      <c r="O57" s="5" t="s">
        <v>53</v>
      </c>
      <c r="P57" s="5" t="s">
        <v>54</v>
      </c>
      <c r="Q57" s="5" t="s">
        <v>55</v>
      </c>
      <c r="S57" s="5" t="s">
        <v>57</v>
      </c>
      <c r="X5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Vessel_Component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singh</dc:creator>
  <cp:lastModifiedBy>rahul singh</cp:lastModifiedBy>
  <dcterms:created xsi:type="dcterms:W3CDTF">2025-11-07T04:55:13Z</dcterms:created>
  <dcterms:modified xsi:type="dcterms:W3CDTF">2025-11-07T04:56:28Z</dcterms:modified>
</cp:coreProperties>
</file>